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mc:AlternateContent xmlns:mc="http://schemas.openxmlformats.org/markup-compatibility/2006">
    <mc:Choice Requires="x15">
      <x15ac:absPath xmlns:x15ac="http://schemas.microsoft.com/office/spreadsheetml/2010/11/ac" url="https://anu365-my.sharepoint.com/personal/u8363323_anu_edu_au/Documents/Doctoral Documents/QTimeline/"/>
    </mc:Choice>
  </mc:AlternateContent>
  <xr:revisionPtr revIDLastSave="92" documentId="11_0EC2900A77C21E90B6F1C8A2499E150DCEDE6822" xr6:coauthVersionLast="47" xr6:coauthVersionMax="47" xr10:uidLastSave="{9E98A0C4-0D5F-4AAB-BDC4-85E8952CE09A}"/>
  <bookViews>
    <workbookView xWindow="-103" yWindow="-103" windowWidth="26537" windowHeight="15943" tabRatio="500" firstSheet="1" xr2:uid="{00000000-000D-0000-FFFF-FFFF00000000}"/>
  </bookViews>
  <sheets>
    <sheet name="Timeline" sheetId="1" r:id="rId1"/>
    <sheet name="Gantt" sheetId="2" r:id="rId2"/>
    <sheet name="ANU Rul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49" i="2" l="1"/>
  <c r="E49" i="2"/>
  <c r="D49" i="2"/>
  <c r="C49" i="2"/>
  <c r="B49" i="2"/>
  <c r="A49" i="2"/>
  <c r="F48" i="2"/>
  <c r="E48" i="2"/>
  <c r="D48" i="2"/>
  <c r="C48" i="2"/>
  <c r="B48" i="2"/>
  <c r="A48" i="2"/>
  <c r="F47" i="2"/>
  <c r="E47" i="2"/>
  <c r="AP47" i="2" s="1"/>
  <c r="D47" i="2"/>
  <c r="C47" i="2"/>
  <c r="B47" i="2"/>
  <c r="A47" i="2"/>
  <c r="F46" i="2"/>
  <c r="E46" i="2"/>
  <c r="D46" i="2"/>
  <c r="C46" i="2"/>
  <c r="B46" i="2"/>
  <c r="A46" i="2"/>
  <c r="F45" i="2"/>
  <c r="E45" i="2"/>
  <c r="D45" i="2"/>
  <c r="C45" i="2"/>
  <c r="B45" i="2"/>
  <c r="A45" i="2"/>
  <c r="F44" i="2"/>
  <c r="E44" i="2"/>
  <c r="D44" i="2"/>
  <c r="C44" i="2"/>
  <c r="B44" i="2"/>
  <c r="A44" i="2"/>
  <c r="F43" i="2"/>
  <c r="E43" i="2"/>
  <c r="D43" i="2"/>
  <c r="C43" i="2"/>
  <c r="B43" i="2"/>
  <c r="A43" i="2"/>
  <c r="F42" i="2"/>
  <c r="E42" i="2"/>
  <c r="D42" i="2"/>
  <c r="C42" i="2"/>
  <c r="B42" i="2"/>
  <c r="A42" i="2"/>
  <c r="F41" i="2"/>
  <c r="E41" i="2"/>
  <c r="D41" i="2"/>
  <c r="C41" i="2"/>
  <c r="B41" i="2"/>
  <c r="A41" i="2"/>
  <c r="F40" i="2"/>
  <c r="E40" i="2"/>
  <c r="D40" i="2"/>
  <c r="C40" i="2"/>
  <c r="B40" i="2"/>
  <c r="A40" i="2"/>
  <c r="F39" i="2"/>
  <c r="E39" i="2"/>
  <c r="D39" i="2"/>
  <c r="C39" i="2"/>
  <c r="B39" i="2"/>
  <c r="A39" i="2"/>
  <c r="F38" i="2"/>
  <c r="E38" i="2"/>
  <c r="D38" i="2"/>
  <c r="C38" i="2"/>
  <c r="B38" i="2"/>
  <c r="A38" i="2"/>
  <c r="F37" i="2"/>
  <c r="E37" i="2"/>
  <c r="D37" i="2"/>
  <c r="C37" i="2"/>
  <c r="B37" i="2"/>
  <c r="A37" i="2"/>
  <c r="F36" i="2"/>
  <c r="E36" i="2"/>
  <c r="D36" i="2"/>
  <c r="C36" i="2"/>
  <c r="B36" i="2"/>
  <c r="A36" i="2"/>
  <c r="F35" i="2"/>
  <c r="E35" i="2"/>
  <c r="D35" i="2"/>
  <c r="C35" i="2"/>
  <c r="B35" i="2"/>
  <c r="A35" i="2"/>
  <c r="F34" i="2"/>
  <c r="E34" i="2"/>
  <c r="D34" i="2"/>
  <c r="C34" i="2"/>
  <c r="B34" i="2"/>
  <c r="A34" i="2"/>
  <c r="F33" i="2"/>
  <c r="E33" i="2"/>
  <c r="D33" i="2"/>
  <c r="C33" i="2"/>
  <c r="B33" i="2"/>
  <c r="A33" i="2"/>
  <c r="F32" i="2"/>
  <c r="E32" i="2"/>
  <c r="D32" i="2"/>
  <c r="C32" i="2"/>
  <c r="B32" i="2"/>
  <c r="A32" i="2"/>
  <c r="F31" i="2"/>
  <c r="E31" i="2"/>
  <c r="D31" i="2"/>
  <c r="C31" i="2"/>
  <c r="B31" i="2"/>
  <c r="A31" i="2"/>
  <c r="F30" i="2"/>
  <c r="E30" i="2"/>
  <c r="D30" i="2"/>
  <c r="C30" i="2"/>
  <c r="B30" i="2"/>
  <c r="A30" i="2"/>
  <c r="F29" i="2"/>
  <c r="E29" i="2"/>
  <c r="D29" i="2"/>
  <c r="C29" i="2"/>
  <c r="B29" i="2"/>
  <c r="A29" i="2"/>
  <c r="F28" i="2"/>
  <c r="E28" i="2"/>
  <c r="D28" i="2"/>
  <c r="C28" i="2"/>
  <c r="B28" i="2"/>
  <c r="A28" i="2"/>
  <c r="F27" i="2"/>
  <c r="E27" i="2"/>
  <c r="D27" i="2"/>
  <c r="C27" i="2"/>
  <c r="B27" i="2"/>
  <c r="A27" i="2"/>
  <c r="F26" i="2"/>
  <c r="E26" i="2"/>
  <c r="D26" i="2"/>
  <c r="C26" i="2"/>
  <c r="B26" i="2"/>
  <c r="A26" i="2"/>
  <c r="F25" i="2"/>
  <c r="E25" i="2"/>
  <c r="D25" i="2"/>
  <c r="C25" i="2"/>
  <c r="B25" i="2"/>
  <c r="A25" i="2"/>
  <c r="F24" i="2"/>
  <c r="E24" i="2"/>
  <c r="D24" i="2"/>
  <c r="C24" i="2"/>
  <c r="B24" i="2"/>
  <c r="A24" i="2"/>
  <c r="F23" i="2"/>
  <c r="E23" i="2"/>
  <c r="D23" i="2"/>
  <c r="C23" i="2"/>
  <c r="B23" i="2"/>
  <c r="A23" i="2"/>
  <c r="F22" i="2"/>
  <c r="E22" i="2"/>
  <c r="D22" i="2"/>
  <c r="C22" i="2"/>
  <c r="B22" i="2"/>
  <c r="A22" i="2"/>
  <c r="F21" i="2"/>
  <c r="E21" i="2"/>
  <c r="D21" i="2"/>
  <c r="C21" i="2"/>
  <c r="B21" i="2"/>
  <c r="A21" i="2"/>
  <c r="F20" i="2"/>
  <c r="E20" i="2"/>
  <c r="D20" i="2"/>
  <c r="C20" i="2"/>
  <c r="B20" i="2"/>
  <c r="A20" i="2"/>
  <c r="F19" i="2"/>
  <c r="E19" i="2"/>
  <c r="D19" i="2"/>
  <c r="C19" i="2"/>
  <c r="B19" i="2"/>
  <c r="A19" i="2"/>
  <c r="F18" i="2"/>
  <c r="E18" i="2"/>
  <c r="D18" i="2"/>
  <c r="C18" i="2"/>
  <c r="B18" i="2"/>
  <c r="A18" i="2"/>
  <c r="F17" i="2"/>
  <c r="E17" i="2"/>
  <c r="D17" i="2"/>
  <c r="C17" i="2"/>
  <c r="B17" i="2"/>
  <c r="A17" i="2"/>
  <c r="F16" i="2"/>
  <c r="E16" i="2"/>
  <c r="D16" i="2"/>
  <c r="C16" i="2"/>
  <c r="B16" i="2"/>
  <c r="A16" i="2"/>
  <c r="F15" i="2"/>
  <c r="E15" i="2"/>
  <c r="AA15" i="2" s="1"/>
  <c r="D15" i="2"/>
  <c r="C15" i="2"/>
  <c r="B15" i="2"/>
  <c r="A15" i="2"/>
  <c r="F14" i="2"/>
  <c r="E14" i="2"/>
  <c r="D14" i="2"/>
  <c r="C14" i="2"/>
  <c r="B14" i="2"/>
  <c r="A14" i="2"/>
  <c r="F13" i="2"/>
  <c r="E13" i="2"/>
  <c r="D13" i="2"/>
  <c r="C13" i="2"/>
  <c r="B13" i="2"/>
  <c r="A13" i="2"/>
  <c r="F12" i="2"/>
  <c r="E12" i="2"/>
  <c r="D12" i="2"/>
  <c r="C12" i="2"/>
  <c r="B12" i="2"/>
  <c r="A12" i="2"/>
  <c r="F11" i="2"/>
  <c r="E11" i="2"/>
  <c r="D11" i="2"/>
  <c r="C11" i="2"/>
  <c r="B11" i="2"/>
  <c r="A11" i="2"/>
  <c r="F10" i="2"/>
  <c r="E10" i="2"/>
  <c r="D10" i="2"/>
  <c r="C10" i="2"/>
  <c r="B10" i="2"/>
  <c r="A10" i="2"/>
  <c r="F9" i="2"/>
  <c r="E9" i="2"/>
  <c r="D9" i="2"/>
  <c r="C9" i="2"/>
  <c r="B9" i="2"/>
  <c r="A9" i="2"/>
  <c r="F8" i="2"/>
  <c r="E8" i="2"/>
  <c r="D8" i="2"/>
  <c r="C8" i="2"/>
  <c r="B8" i="2"/>
  <c r="A8" i="2"/>
  <c r="F7" i="2"/>
  <c r="E7" i="2"/>
  <c r="D7" i="2"/>
  <c r="C7" i="2"/>
  <c r="B7" i="2"/>
  <c r="A7" i="2"/>
  <c r="F6" i="2"/>
  <c r="E6" i="2"/>
  <c r="D6" i="2"/>
  <c r="C6" i="2"/>
  <c r="B6" i="2"/>
  <c r="A6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D11" i="1"/>
  <c r="D10" i="1"/>
  <c r="D9" i="1"/>
  <c r="D8" i="1"/>
  <c r="D7" i="1"/>
  <c r="D6" i="1"/>
  <c r="D5" i="1"/>
  <c r="D4" i="1"/>
  <c r="AV49" i="2" l="1"/>
  <c r="AN43" i="2"/>
  <c r="Y41" i="2"/>
  <c r="AD41" i="2"/>
  <c r="AC41" i="2"/>
  <c r="AB41" i="2"/>
  <c r="AA41" i="2"/>
  <c r="Z41" i="2"/>
  <c r="AO41" i="2"/>
  <c r="AV41" i="2"/>
  <c r="AU41" i="2"/>
  <c r="AT41" i="2"/>
  <c r="AS41" i="2"/>
  <c r="AR41" i="2"/>
  <c r="AQ41" i="2"/>
  <c r="AP41" i="2"/>
  <c r="X41" i="2"/>
  <c r="AN41" i="2"/>
  <c r="AM41" i="2"/>
  <c r="AL41" i="2"/>
  <c r="AK41" i="2"/>
  <c r="AJ41" i="2"/>
  <c r="AI41" i="2"/>
  <c r="AH41" i="2"/>
  <c r="AG41" i="2"/>
  <c r="AF41" i="2"/>
  <c r="AE41" i="2"/>
  <c r="AP39" i="2"/>
  <c r="AM39" i="2"/>
  <c r="AI39" i="2"/>
  <c r="Y39" i="2"/>
  <c r="W39" i="2"/>
  <c r="T39" i="2"/>
  <c r="AQ39" i="2"/>
  <c r="AN39" i="2"/>
  <c r="AL39" i="2"/>
  <c r="AJ39" i="2"/>
  <c r="AH39" i="2"/>
  <c r="AF39" i="2"/>
  <c r="AE39" i="2"/>
  <c r="AD39" i="2"/>
  <c r="AC39" i="2"/>
  <c r="AA39" i="2"/>
  <c r="X39" i="2"/>
  <c r="V39" i="2"/>
  <c r="S39" i="2"/>
  <c r="AV39" i="2"/>
  <c r="AU39" i="2"/>
  <c r="AT39" i="2"/>
  <c r="AS39" i="2"/>
  <c r="AR39" i="2"/>
  <c r="AO39" i="2"/>
  <c r="AK39" i="2"/>
  <c r="AG39" i="2"/>
  <c r="AB39" i="2"/>
  <c r="Z39" i="2"/>
  <c r="U39" i="2"/>
  <c r="R39" i="2"/>
  <c r="AV30" i="2"/>
  <c r="AU30" i="2"/>
  <c r="AT30" i="2"/>
  <c r="AS30" i="2"/>
  <c r="AR30" i="2"/>
  <c r="AQ30" i="2"/>
  <c r="AP30" i="2"/>
  <c r="AO30" i="2"/>
  <c r="G49" i="2"/>
  <c r="AP49" i="2"/>
  <c r="AQ49" i="2"/>
  <c r="AR49" i="2"/>
  <c r="AS49" i="2"/>
  <c r="AT49" i="2"/>
  <c r="AU49" i="2"/>
  <c r="AA49" i="2"/>
  <c r="O49" i="2"/>
  <c r="Z49" i="2"/>
  <c r="N49" i="2"/>
  <c r="M49" i="2"/>
  <c r="AO49" i="2"/>
  <c r="AM49" i="2"/>
  <c r="AN49" i="2"/>
  <c r="Y49" i="2"/>
  <c r="AL49" i="2"/>
  <c r="AK49" i="2"/>
  <c r="AJ49" i="2"/>
  <c r="AI49" i="2"/>
  <c r="AH49" i="2"/>
  <c r="AG49" i="2"/>
  <c r="AF49" i="2"/>
  <c r="AE49" i="2"/>
  <c r="AD49" i="2"/>
  <c r="L49" i="2"/>
  <c r="K49" i="2"/>
  <c r="J49" i="2"/>
  <c r="I49" i="2"/>
  <c r="H49" i="2"/>
  <c r="AC49" i="2"/>
  <c r="AB49" i="2"/>
  <c r="X49" i="2"/>
  <c r="W49" i="2"/>
  <c r="V49" i="2"/>
  <c r="U49" i="2"/>
  <c r="T49" i="2"/>
  <c r="S49" i="2"/>
  <c r="R49" i="2"/>
  <c r="Q49" i="2"/>
  <c r="P49" i="2"/>
  <c r="AJ48" i="2"/>
  <c r="AI48" i="2"/>
  <c r="AH48" i="2"/>
  <c r="AG48" i="2"/>
  <c r="AF48" i="2"/>
  <c r="AE48" i="2"/>
  <c r="AD48" i="2"/>
  <c r="AC48" i="2"/>
  <c r="AA48" i="2"/>
  <c r="Z48" i="2"/>
  <c r="Y48" i="2"/>
  <c r="X48" i="2"/>
  <c r="W48" i="2"/>
  <c r="V48" i="2"/>
  <c r="U48" i="2"/>
  <c r="T48" i="2"/>
  <c r="S48" i="2"/>
  <c r="N48" i="2"/>
  <c r="AT48" i="2"/>
  <c r="H48" i="2"/>
  <c r="R48" i="2"/>
  <c r="AB48" i="2"/>
  <c r="Q48" i="2"/>
  <c r="P48" i="2"/>
  <c r="O48" i="2"/>
  <c r="M48" i="2"/>
  <c r="L48" i="2"/>
  <c r="K48" i="2"/>
  <c r="J48" i="2"/>
  <c r="I48" i="2"/>
  <c r="G48" i="2"/>
  <c r="AK48" i="2"/>
  <c r="AL48" i="2"/>
  <c r="AM48" i="2"/>
  <c r="AN48" i="2"/>
  <c r="AO48" i="2"/>
  <c r="AP48" i="2"/>
  <c r="AQ48" i="2"/>
  <c r="AR48" i="2"/>
  <c r="AS48" i="2"/>
  <c r="AU48" i="2"/>
  <c r="AV48" i="2"/>
  <c r="AV47" i="2"/>
  <c r="R47" i="2"/>
  <c r="Q47" i="2"/>
  <c r="H47" i="2"/>
  <c r="I47" i="2"/>
  <c r="J47" i="2"/>
  <c r="AF47" i="2"/>
  <c r="AJ47" i="2"/>
  <c r="K47" i="2"/>
  <c r="L47" i="2"/>
  <c r="G47" i="2"/>
  <c r="M47" i="2"/>
  <c r="N47" i="2"/>
  <c r="S47" i="2"/>
  <c r="T47" i="2"/>
  <c r="U47" i="2"/>
  <c r="V47" i="2"/>
  <c r="W47" i="2"/>
  <c r="X47" i="2"/>
  <c r="Y47" i="2"/>
  <c r="Z47" i="2"/>
  <c r="AA47" i="2"/>
  <c r="AB47" i="2"/>
  <c r="AC47" i="2"/>
  <c r="AD47" i="2"/>
  <c r="O47" i="2"/>
  <c r="AE47" i="2"/>
  <c r="AG47" i="2"/>
  <c r="AH47" i="2"/>
  <c r="AI47" i="2"/>
  <c r="AK47" i="2"/>
  <c r="AL47" i="2"/>
  <c r="AM47" i="2"/>
  <c r="AN47" i="2"/>
  <c r="AO47" i="2"/>
  <c r="AQ47" i="2"/>
  <c r="AR47" i="2"/>
  <c r="AS47" i="2"/>
  <c r="AT47" i="2"/>
  <c r="AU47" i="2"/>
  <c r="P47" i="2"/>
  <c r="G46" i="2"/>
  <c r="Q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P46" i="2"/>
  <c r="O46" i="2"/>
  <c r="N46" i="2"/>
  <c r="M46" i="2"/>
  <c r="L46" i="2"/>
  <c r="K46" i="2"/>
  <c r="J46" i="2"/>
  <c r="I46" i="2"/>
  <c r="H46" i="2"/>
  <c r="AJ45" i="2"/>
  <c r="Z45" i="2"/>
  <c r="AR45" i="2"/>
  <c r="S45" i="2"/>
  <c r="T45" i="2"/>
  <c r="U45" i="2"/>
  <c r="V45" i="2"/>
  <c r="W45" i="2"/>
  <c r="X45" i="2"/>
  <c r="Y45" i="2"/>
  <c r="H45" i="2"/>
  <c r="AA45" i="2"/>
  <c r="AB45" i="2"/>
  <c r="AC45" i="2"/>
  <c r="AD45" i="2"/>
  <c r="AE45" i="2"/>
  <c r="AF45" i="2"/>
  <c r="AG45" i="2"/>
  <c r="AH45" i="2"/>
  <c r="G45" i="2"/>
  <c r="AI45" i="2"/>
  <c r="I45" i="2"/>
  <c r="J45" i="2"/>
  <c r="K45" i="2"/>
  <c r="L45" i="2"/>
  <c r="M45" i="2"/>
  <c r="N45" i="2"/>
  <c r="O45" i="2"/>
  <c r="P45" i="2"/>
  <c r="Q45" i="2"/>
  <c r="R45" i="2"/>
  <c r="AK45" i="2"/>
  <c r="AL45" i="2"/>
  <c r="AM45" i="2"/>
  <c r="AN45" i="2"/>
  <c r="AO45" i="2"/>
  <c r="AP45" i="2"/>
  <c r="AQ45" i="2"/>
  <c r="AS45" i="2"/>
  <c r="AT45" i="2"/>
  <c r="AU45" i="2"/>
  <c r="AV45" i="2"/>
  <c r="K44" i="2"/>
  <c r="G44" i="2"/>
  <c r="H44" i="2"/>
  <c r="I44" i="2"/>
  <c r="J44" i="2"/>
  <c r="Q44" i="2"/>
  <c r="L44" i="2"/>
  <c r="M44" i="2"/>
  <c r="N44" i="2"/>
  <c r="P44" i="2"/>
  <c r="Z44" i="2"/>
  <c r="R44" i="2"/>
  <c r="S44" i="2"/>
  <c r="T44" i="2"/>
  <c r="U44" i="2"/>
  <c r="V44" i="2"/>
  <c r="W44" i="2"/>
  <c r="O44" i="2"/>
  <c r="AV44" i="2"/>
  <c r="AU44" i="2"/>
  <c r="AJ44" i="2"/>
  <c r="AT44" i="2"/>
  <c r="AS44" i="2"/>
  <c r="AR44" i="2"/>
  <c r="AQ44" i="2"/>
  <c r="AP44" i="2"/>
  <c r="AO44" i="2"/>
  <c r="AN44" i="2"/>
  <c r="AM44" i="2"/>
  <c r="AF44" i="2"/>
  <c r="AE44" i="2"/>
  <c r="AD44" i="2"/>
  <c r="AL44" i="2"/>
  <c r="AC44" i="2"/>
  <c r="AB44" i="2"/>
  <c r="AA44" i="2"/>
  <c r="AK44" i="2"/>
  <c r="Y44" i="2"/>
  <c r="AI44" i="2"/>
  <c r="X44" i="2"/>
  <c r="AH44" i="2"/>
  <c r="AG44" i="2"/>
  <c r="P43" i="2"/>
  <c r="O43" i="2"/>
  <c r="N43" i="2"/>
  <c r="M43" i="2"/>
  <c r="L43" i="2"/>
  <c r="K43" i="2"/>
  <c r="J43" i="2"/>
  <c r="I43" i="2"/>
  <c r="H43" i="2"/>
  <c r="G43" i="2"/>
  <c r="AE43" i="2"/>
  <c r="AF43" i="2"/>
  <c r="AG43" i="2"/>
  <c r="AH43" i="2"/>
  <c r="AI43" i="2"/>
  <c r="AJ43" i="2"/>
  <c r="AK43" i="2"/>
  <c r="AL43" i="2"/>
  <c r="AM43" i="2"/>
  <c r="AR43" i="2"/>
  <c r="AT43" i="2"/>
  <c r="AV43" i="2"/>
  <c r="AP43" i="2"/>
  <c r="AO43" i="2"/>
  <c r="AQ43" i="2"/>
  <c r="AS43" i="2"/>
  <c r="AU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AM42" i="2"/>
  <c r="AO42" i="2"/>
  <c r="AQ42" i="2"/>
  <c r="AS42" i="2"/>
  <c r="AU42" i="2"/>
  <c r="AV42" i="2"/>
  <c r="J42" i="2"/>
  <c r="L42" i="2"/>
  <c r="M42" i="2"/>
  <c r="N42" i="2"/>
  <c r="AT42" i="2"/>
  <c r="AR42" i="2"/>
  <c r="AP42" i="2"/>
  <c r="AN42" i="2"/>
  <c r="AK42" i="2"/>
  <c r="AI42" i="2"/>
  <c r="AG42" i="2"/>
  <c r="AE42" i="2"/>
  <c r="AA42" i="2"/>
  <c r="Y42" i="2"/>
  <c r="W42" i="2"/>
  <c r="T42" i="2"/>
  <c r="R42" i="2"/>
  <c r="P42" i="2"/>
  <c r="K42" i="2"/>
  <c r="I42" i="2"/>
  <c r="G42" i="2"/>
  <c r="H42" i="2"/>
  <c r="AJ42" i="2"/>
  <c r="O42" i="2"/>
  <c r="AH42" i="2"/>
  <c r="AF42" i="2"/>
  <c r="AD42" i="2"/>
  <c r="AC42" i="2"/>
  <c r="AB42" i="2"/>
  <c r="Z42" i="2"/>
  <c r="X42" i="2"/>
  <c r="V42" i="2"/>
  <c r="U42" i="2"/>
  <c r="S42" i="2"/>
  <c r="Q42" i="2"/>
  <c r="AL42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G41" i="2"/>
  <c r="H41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W40" i="2"/>
  <c r="V40" i="2"/>
  <c r="U40" i="2"/>
  <c r="AV40" i="2"/>
  <c r="S40" i="2"/>
  <c r="R40" i="2"/>
  <c r="Q40" i="2"/>
  <c r="P40" i="2"/>
  <c r="O40" i="2"/>
  <c r="N40" i="2"/>
  <c r="M40" i="2"/>
  <c r="X40" i="2"/>
  <c r="L40" i="2"/>
  <c r="K40" i="2"/>
  <c r="J40" i="2"/>
  <c r="I40" i="2"/>
  <c r="H40" i="2"/>
  <c r="G40" i="2"/>
  <c r="T40" i="2"/>
  <c r="Q39" i="2"/>
  <c r="P39" i="2"/>
  <c r="O39" i="2"/>
  <c r="N39" i="2"/>
  <c r="G39" i="2"/>
  <c r="L39" i="2"/>
  <c r="K39" i="2"/>
  <c r="J39" i="2"/>
  <c r="I39" i="2"/>
  <c r="H39" i="2"/>
  <c r="M39" i="2"/>
  <c r="G38" i="2"/>
  <c r="H38" i="2"/>
  <c r="I38" i="2"/>
  <c r="J38" i="2"/>
  <c r="K38" i="2"/>
  <c r="L38" i="2"/>
  <c r="M38" i="2"/>
  <c r="AQ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AR38" i="2"/>
  <c r="AS38" i="2"/>
  <c r="AT38" i="2"/>
  <c r="AU38" i="2"/>
  <c r="AV38" i="2"/>
  <c r="N38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AA37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H36" i="2"/>
  <c r="AI36" i="2"/>
  <c r="AH36" i="2"/>
  <c r="AG36" i="2"/>
  <c r="AF36" i="2"/>
  <c r="AE36" i="2"/>
  <c r="AD36" i="2"/>
  <c r="AC36" i="2"/>
  <c r="AA36" i="2"/>
  <c r="AV36" i="2"/>
  <c r="Y36" i="2"/>
  <c r="X36" i="2"/>
  <c r="W36" i="2"/>
  <c r="V36" i="2"/>
  <c r="U36" i="2"/>
  <c r="T36" i="2"/>
  <c r="S36" i="2"/>
  <c r="R36" i="2"/>
  <c r="AB36" i="2"/>
  <c r="Z36" i="2"/>
  <c r="P36" i="2"/>
  <c r="O36" i="2"/>
  <c r="N36" i="2"/>
  <c r="M36" i="2"/>
  <c r="L36" i="2"/>
  <c r="K36" i="2"/>
  <c r="J36" i="2"/>
  <c r="I36" i="2"/>
  <c r="G36" i="2"/>
  <c r="Q36" i="2"/>
  <c r="AV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AU35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H31" i="2"/>
  <c r="G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0" i="2"/>
  <c r="G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AF29" i="2"/>
  <c r="AH29" i="2"/>
  <c r="AI29" i="2"/>
  <c r="P29" i="2"/>
  <c r="O29" i="2"/>
  <c r="N29" i="2"/>
  <c r="M29" i="2"/>
  <c r="L29" i="2"/>
  <c r="K29" i="2"/>
  <c r="J29" i="2"/>
  <c r="I29" i="2"/>
  <c r="H29" i="2"/>
  <c r="G29" i="2"/>
  <c r="AJ29" i="2"/>
  <c r="AK29" i="2"/>
  <c r="AL29" i="2"/>
  <c r="AM29" i="2"/>
  <c r="AN29" i="2"/>
  <c r="AO29" i="2"/>
  <c r="AQ29" i="2"/>
  <c r="AR29" i="2"/>
  <c r="AP29" i="2"/>
  <c r="AS29" i="2"/>
  <c r="AT29" i="2"/>
  <c r="AU29" i="2"/>
  <c r="AV29" i="2"/>
  <c r="AG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Z28" i="2"/>
  <c r="K28" i="2"/>
  <c r="J28" i="2"/>
  <c r="AV28" i="2"/>
  <c r="AU28" i="2"/>
  <c r="AT28" i="2"/>
  <c r="AS28" i="2"/>
  <c r="AR28" i="2"/>
  <c r="AQ28" i="2"/>
  <c r="AP28" i="2"/>
  <c r="AO28" i="2"/>
  <c r="AN28" i="2"/>
  <c r="AM28" i="2"/>
  <c r="G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H28" i="2"/>
  <c r="Y28" i="2"/>
  <c r="X28" i="2"/>
  <c r="W28" i="2"/>
  <c r="V28" i="2"/>
  <c r="U28" i="2"/>
  <c r="T28" i="2"/>
  <c r="S28" i="2"/>
  <c r="R28" i="2"/>
  <c r="Q28" i="2"/>
  <c r="P28" i="2"/>
  <c r="O28" i="2"/>
  <c r="N28" i="2"/>
  <c r="I28" i="2"/>
  <c r="M28" i="2"/>
  <c r="L28" i="2"/>
  <c r="Q27" i="2"/>
  <c r="P27" i="2"/>
  <c r="AH27" i="2"/>
  <c r="AA27" i="2"/>
  <c r="O27" i="2"/>
  <c r="N27" i="2"/>
  <c r="M27" i="2"/>
  <c r="L27" i="2"/>
  <c r="J27" i="2"/>
  <c r="I27" i="2"/>
  <c r="H27" i="2"/>
  <c r="G27" i="2"/>
  <c r="Z27" i="2"/>
  <c r="Y27" i="2"/>
  <c r="X27" i="2"/>
  <c r="W27" i="2"/>
  <c r="V27" i="2"/>
  <c r="U27" i="2"/>
  <c r="T27" i="2"/>
  <c r="S27" i="2"/>
  <c r="R27" i="2"/>
  <c r="K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G27" i="2"/>
  <c r="AF27" i="2"/>
  <c r="AE27" i="2"/>
  <c r="AD27" i="2"/>
  <c r="AC27" i="2"/>
  <c r="AB27" i="2"/>
  <c r="AM26" i="2"/>
  <c r="AV26" i="2"/>
  <c r="AU26" i="2"/>
  <c r="AT26" i="2"/>
  <c r="AS26" i="2"/>
  <c r="AR26" i="2"/>
  <c r="AQ26" i="2"/>
  <c r="AP26" i="2"/>
  <c r="AO26" i="2"/>
  <c r="AN26" i="2"/>
  <c r="AB26" i="2"/>
  <c r="AC26" i="2"/>
  <c r="AD26" i="2"/>
  <c r="AE26" i="2"/>
  <c r="AF26" i="2"/>
  <c r="AG26" i="2"/>
  <c r="AH26" i="2"/>
  <c r="AI26" i="2"/>
  <c r="AJ26" i="2"/>
  <c r="AK26" i="2"/>
  <c r="AL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L25" i="2"/>
  <c r="Z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K25" i="2"/>
  <c r="J25" i="2"/>
  <c r="I25" i="2"/>
  <c r="H25" i="2"/>
  <c r="G25" i="2"/>
  <c r="N24" i="2"/>
  <c r="O24" i="2"/>
  <c r="P24" i="2"/>
  <c r="Q24" i="2"/>
  <c r="R24" i="2"/>
  <c r="V24" i="2"/>
  <c r="U24" i="2"/>
  <c r="W24" i="2"/>
  <c r="X24" i="2"/>
  <c r="T24" i="2"/>
  <c r="Y24" i="2"/>
  <c r="Z24" i="2"/>
  <c r="AA24" i="2"/>
  <c r="AB24" i="2"/>
  <c r="AC24" i="2"/>
  <c r="AO24" i="2"/>
  <c r="AD24" i="2"/>
  <c r="AE24" i="2"/>
  <c r="AF24" i="2"/>
  <c r="AG24" i="2"/>
  <c r="AH24" i="2"/>
  <c r="AI24" i="2"/>
  <c r="AJ24" i="2"/>
  <c r="AK24" i="2"/>
  <c r="AL24" i="2"/>
  <c r="AM24" i="2"/>
  <c r="AN24" i="2"/>
  <c r="G24" i="2"/>
  <c r="H24" i="2"/>
  <c r="S24" i="2"/>
  <c r="I24" i="2"/>
  <c r="J24" i="2"/>
  <c r="K24" i="2"/>
  <c r="L24" i="2"/>
  <c r="M24" i="2"/>
  <c r="AV24" i="2"/>
  <c r="AU24" i="2"/>
  <c r="AT24" i="2"/>
  <c r="AS24" i="2"/>
  <c r="AR24" i="2"/>
  <c r="AQ24" i="2"/>
  <c r="AP24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G23" i="2"/>
  <c r="H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E22" i="2"/>
  <c r="J22" i="2"/>
  <c r="AV22" i="2"/>
  <c r="AU22" i="2"/>
  <c r="AT22" i="2"/>
  <c r="AS22" i="2"/>
  <c r="AR22" i="2"/>
  <c r="AO22" i="2"/>
  <c r="AQ22" i="2"/>
  <c r="AP22" i="2"/>
  <c r="AN22" i="2"/>
  <c r="AM22" i="2"/>
  <c r="AL22" i="2"/>
  <c r="AK22" i="2"/>
  <c r="AJ22" i="2"/>
  <c r="AI22" i="2"/>
  <c r="AH22" i="2"/>
  <c r="AG22" i="2"/>
  <c r="AF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I22" i="2"/>
  <c r="H22" i="2"/>
  <c r="G22" i="2"/>
  <c r="AI21" i="2"/>
  <c r="S21" i="2"/>
  <c r="R21" i="2"/>
  <c r="Q21" i="2"/>
  <c r="AO21" i="2"/>
  <c r="AN21" i="2"/>
  <c r="AM21" i="2"/>
  <c r="AL21" i="2"/>
  <c r="AK21" i="2"/>
  <c r="AJ21" i="2"/>
  <c r="U21" i="2"/>
  <c r="AH21" i="2"/>
  <c r="AG21" i="2"/>
  <c r="G21" i="2"/>
  <c r="H21" i="2"/>
  <c r="I21" i="2"/>
  <c r="J21" i="2"/>
  <c r="K21" i="2"/>
  <c r="L21" i="2"/>
  <c r="M21" i="2"/>
  <c r="N21" i="2"/>
  <c r="AF21" i="2"/>
  <c r="AE21" i="2"/>
  <c r="AD21" i="2"/>
  <c r="AC21" i="2"/>
  <c r="AB21" i="2"/>
  <c r="T21" i="2"/>
  <c r="AA21" i="2"/>
  <c r="Z21" i="2"/>
  <c r="Y21" i="2"/>
  <c r="X21" i="2"/>
  <c r="O21" i="2"/>
  <c r="W21" i="2"/>
  <c r="P21" i="2"/>
  <c r="V21" i="2"/>
  <c r="AV21" i="2"/>
  <c r="AU21" i="2"/>
  <c r="AT21" i="2"/>
  <c r="AS21" i="2"/>
  <c r="AR21" i="2"/>
  <c r="AQ21" i="2"/>
  <c r="AP21" i="2"/>
  <c r="AA20" i="2"/>
  <c r="Z20" i="2"/>
  <c r="Y20" i="2"/>
  <c r="X20" i="2"/>
  <c r="W20" i="2"/>
  <c r="V20" i="2"/>
  <c r="U20" i="2"/>
  <c r="T20" i="2"/>
  <c r="S20" i="2"/>
  <c r="Q20" i="2"/>
  <c r="P20" i="2"/>
  <c r="O20" i="2"/>
  <c r="N20" i="2"/>
  <c r="M20" i="2"/>
  <c r="K20" i="2"/>
  <c r="J20" i="2"/>
  <c r="I20" i="2"/>
  <c r="H20" i="2"/>
  <c r="G20" i="2"/>
  <c r="R20" i="2"/>
  <c r="L20" i="2"/>
  <c r="AR20" i="2"/>
  <c r="AV20" i="2"/>
  <c r="AU20" i="2"/>
  <c r="AT20" i="2"/>
  <c r="AS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N19" i="2"/>
  <c r="M19" i="2"/>
  <c r="L19" i="2"/>
  <c r="K19" i="2"/>
  <c r="J19" i="2"/>
  <c r="I19" i="2"/>
  <c r="H19" i="2"/>
  <c r="G19" i="2"/>
  <c r="AI19" i="2"/>
  <c r="O19" i="2"/>
  <c r="AT19" i="2"/>
  <c r="AV19" i="2"/>
  <c r="AU19" i="2"/>
  <c r="AR19" i="2"/>
  <c r="AQ19" i="2"/>
  <c r="AP19" i="2"/>
  <c r="AO19" i="2"/>
  <c r="AS19" i="2"/>
  <c r="AN19" i="2"/>
  <c r="AM19" i="2"/>
  <c r="AL19" i="2"/>
  <c r="AK19" i="2"/>
  <c r="AJ19" i="2"/>
  <c r="Y19" i="2"/>
  <c r="AH19" i="2"/>
  <c r="AG19" i="2"/>
  <c r="AF19" i="2"/>
  <c r="AE19" i="2"/>
  <c r="AD19" i="2"/>
  <c r="AC19" i="2"/>
  <c r="AB19" i="2"/>
  <c r="AA19" i="2"/>
  <c r="Z19" i="2"/>
  <c r="X19" i="2"/>
  <c r="W19" i="2"/>
  <c r="V19" i="2"/>
  <c r="U19" i="2"/>
  <c r="T19" i="2"/>
  <c r="S19" i="2"/>
  <c r="R19" i="2"/>
  <c r="Q19" i="2"/>
  <c r="P19" i="2"/>
  <c r="Y18" i="2"/>
  <c r="H18" i="2"/>
  <c r="I18" i="2"/>
  <c r="X18" i="2"/>
  <c r="W18" i="2"/>
  <c r="V18" i="2"/>
  <c r="U18" i="2"/>
  <c r="S18" i="2"/>
  <c r="R18" i="2"/>
  <c r="Q18" i="2"/>
  <c r="P18" i="2"/>
  <c r="J18" i="2"/>
  <c r="K18" i="2"/>
  <c r="L18" i="2"/>
  <c r="M18" i="2"/>
  <c r="N18" i="2"/>
  <c r="O18" i="2"/>
  <c r="G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I18" i="2"/>
  <c r="T18" i="2"/>
  <c r="AH18" i="2"/>
  <c r="AG18" i="2"/>
  <c r="AF18" i="2"/>
  <c r="AE18" i="2"/>
  <c r="AD18" i="2"/>
  <c r="AC18" i="2"/>
  <c r="AB18" i="2"/>
  <c r="AA18" i="2"/>
  <c r="Z18" i="2"/>
  <c r="AJ18" i="2"/>
  <c r="AE17" i="2"/>
  <c r="AD17" i="2"/>
  <c r="AC17" i="2"/>
  <c r="AB17" i="2"/>
  <c r="AA17" i="2"/>
  <c r="Z17" i="2"/>
  <c r="X17" i="2"/>
  <c r="W17" i="2"/>
  <c r="V17" i="2"/>
  <c r="U17" i="2"/>
  <c r="T17" i="2"/>
  <c r="S17" i="2"/>
  <c r="R17" i="2"/>
  <c r="Q17" i="2"/>
  <c r="P17" i="2"/>
  <c r="N17" i="2"/>
  <c r="M17" i="2"/>
  <c r="L17" i="2"/>
  <c r="K17" i="2"/>
  <c r="I17" i="2"/>
  <c r="H17" i="2"/>
  <c r="O17" i="2"/>
  <c r="J17" i="2"/>
  <c r="G17" i="2"/>
  <c r="Y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L16" i="2"/>
  <c r="AB16" i="2"/>
  <c r="Z16" i="2"/>
  <c r="V16" i="2"/>
  <c r="AN16" i="2"/>
  <c r="T16" i="2"/>
  <c r="AP16" i="2"/>
  <c r="AR16" i="2"/>
  <c r="AS16" i="2"/>
  <c r="AV16" i="2"/>
  <c r="I16" i="2"/>
  <c r="R16" i="2"/>
  <c r="P16" i="2"/>
  <c r="N16" i="2"/>
  <c r="L16" i="2"/>
  <c r="J16" i="2"/>
  <c r="G16" i="2"/>
  <c r="H16" i="2"/>
  <c r="K16" i="2"/>
  <c r="M16" i="2"/>
  <c r="O16" i="2"/>
  <c r="Q16" i="2"/>
  <c r="S16" i="2"/>
  <c r="U16" i="2"/>
  <c r="W16" i="2"/>
  <c r="X16" i="2"/>
  <c r="Y16" i="2"/>
  <c r="AA16" i="2"/>
  <c r="AC16" i="2"/>
  <c r="AE16" i="2"/>
  <c r="AT16" i="2"/>
  <c r="AG16" i="2"/>
  <c r="AU16" i="2"/>
  <c r="AQ16" i="2"/>
  <c r="AO16" i="2"/>
  <c r="AM16" i="2"/>
  <c r="AI16" i="2"/>
  <c r="AK16" i="2"/>
  <c r="AJ16" i="2"/>
  <c r="AH16" i="2"/>
  <c r="AF16" i="2"/>
  <c r="AD16" i="2"/>
  <c r="AG15" i="2"/>
  <c r="AE15" i="2"/>
  <c r="G15" i="2"/>
  <c r="AC15" i="2"/>
  <c r="AJ15" i="2"/>
  <c r="AL15" i="2"/>
  <c r="AN15" i="2"/>
  <c r="AQ15" i="2"/>
  <c r="AT15" i="2"/>
  <c r="AV15" i="2"/>
  <c r="AM15" i="2"/>
  <c r="AS15" i="2"/>
  <c r="AR15" i="2"/>
  <c r="AP15" i="2"/>
  <c r="AO15" i="2"/>
  <c r="AU15" i="2"/>
  <c r="AK15" i="2"/>
  <c r="AI15" i="2"/>
  <c r="AH15" i="2"/>
  <c r="AF15" i="2"/>
  <c r="AD15" i="2"/>
  <c r="AB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AJ14" i="2"/>
  <c r="AI14" i="2"/>
  <c r="AH14" i="2"/>
  <c r="AG14" i="2"/>
  <c r="AF14" i="2"/>
  <c r="AE14" i="2"/>
  <c r="AD14" i="2"/>
  <c r="AC14" i="2"/>
  <c r="AB14" i="2"/>
  <c r="AA14" i="2"/>
  <c r="Y14" i="2"/>
  <c r="W14" i="2"/>
  <c r="U14" i="2"/>
  <c r="S14" i="2"/>
  <c r="L14" i="2"/>
  <c r="J14" i="2"/>
  <c r="G14" i="2"/>
  <c r="M14" i="2"/>
  <c r="K14" i="2"/>
  <c r="I14" i="2"/>
  <c r="H14" i="2"/>
  <c r="O14" i="2"/>
  <c r="Z14" i="2"/>
  <c r="X14" i="2"/>
  <c r="V14" i="2"/>
  <c r="T14" i="2"/>
  <c r="R14" i="2"/>
  <c r="Q14" i="2"/>
  <c r="P14" i="2"/>
  <c r="N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U13" i="2"/>
  <c r="V13" i="2"/>
  <c r="W13" i="2"/>
  <c r="Y13" i="2"/>
  <c r="AA13" i="2"/>
  <c r="AB13" i="2"/>
  <c r="AD13" i="2"/>
  <c r="AF13" i="2"/>
  <c r="AH13" i="2"/>
  <c r="AI13" i="2"/>
  <c r="AJ13" i="2"/>
  <c r="AM13" i="2"/>
  <c r="X13" i="2"/>
  <c r="Z13" i="2"/>
  <c r="AO13" i="2"/>
  <c r="H13" i="2"/>
  <c r="J13" i="2"/>
  <c r="L13" i="2"/>
  <c r="N13" i="2"/>
  <c r="Q13" i="2"/>
  <c r="T13" i="2"/>
  <c r="G13" i="2"/>
  <c r="I13" i="2"/>
  <c r="K13" i="2"/>
  <c r="M13" i="2"/>
  <c r="O13" i="2"/>
  <c r="P13" i="2"/>
  <c r="R13" i="2"/>
  <c r="S13" i="2"/>
  <c r="AV13" i="2"/>
  <c r="AT13" i="2"/>
  <c r="AS13" i="2"/>
  <c r="AR13" i="2"/>
  <c r="AP13" i="2"/>
  <c r="AC13" i="2"/>
  <c r="AU13" i="2"/>
  <c r="AQ13" i="2"/>
  <c r="AN13" i="2"/>
  <c r="AL13" i="2"/>
  <c r="AK13" i="2"/>
  <c r="AG13" i="2"/>
  <c r="AE13" i="2"/>
  <c r="AS12" i="2"/>
  <c r="AR12" i="2"/>
  <c r="AQ12" i="2"/>
  <c r="AP12" i="2"/>
  <c r="AO12" i="2"/>
  <c r="AN12" i="2"/>
  <c r="AM12" i="2"/>
  <c r="AL12" i="2"/>
  <c r="AJ12" i="2"/>
  <c r="AH12" i="2"/>
  <c r="AG12" i="2"/>
  <c r="AF12" i="2"/>
  <c r="AE12" i="2"/>
  <c r="AD12" i="2"/>
  <c r="AC12" i="2"/>
  <c r="AB12" i="2"/>
  <c r="AA12" i="2"/>
  <c r="Z12" i="2"/>
  <c r="AK12" i="2"/>
  <c r="Y12" i="2"/>
  <c r="X12" i="2"/>
  <c r="W12" i="2"/>
  <c r="V12" i="2"/>
  <c r="U12" i="2"/>
  <c r="T12" i="2"/>
  <c r="S12" i="2"/>
  <c r="M12" i="2"/>
  <c r="L12" i="2"/>
  <c r="K12" i="2"/>
  <c r="J12" i="2"/>
  <c r="AT12" i="2"/>
  <c r="AI12" i="2"/>
  <c r="AV12" i="2"/>
  <c r="I12" i="2"/>
  <c r="H12" i="2"/>
  <c r="G12" i="2"/>
  <c r="Q12" i="2"/>
  <c r="R12" i="2"/>
  <c r="P12" i="2"/>
  <c r="O12" i="2"/>
  <c r="N12" i="2"/>
  <c r="AU12" i="2"/>
  <c r="AL11" i="2"/>
  <c r="S11" i="2"/>
  <c r="T11" i="2"/>
  <c r="U11" i="2"/>
  <c r="V11" i="2"/>
  <c r="W11" i="2"/>
  <c r="X11" i="2"/>
  <c r="Y11" i="2"/>
  <c r="Z11" i="2"/>
  <c r="AA11" i="2"/>
  <c r="AC11" i="2"/>
  <c r="AD11" i="2"/>
  <c r="AE11" i="2"/>
  <c r="AF11" i="2"/>
  <c r="AG11" i="2"/>
  <c r="AH11" i="2"/>
  <c r="AI11" i="2"/>
  <c r="AJ11" i="2"/>
  <c r="AK11" i="2"/>
  <c r="AM11" i="2"/>
  <c r="AN11" i="2"/>
  <c r="AO11" i="2"/>
  <c r="AP11" i="2"/>
  <c r="AQ11" i="2"/>
  <c r="AR11" i="2"/>
  <c r="AS11" i="2"/>
  <c r="AT11" i="2"/>
  <c r="AU11" i="2"/>
  <c r="AV11" i="2"/>
  <c r="P11" i="2"/>
  <c r="O11" i="2"/>
  <c r="N11" i="2"/>
  <c r="M11" i="2"/>
  <c r="L11" i="2"/>
  <c r="K11" i="2"/>
  <c r="J11" i="2"/>
  <c r="I11" i="2"/>
  <c r="H11" i="2"/>
  <c r="G11" i="2"/>
  <c r="R11" i="2"/>
  <c r="Q11" i="2"/>
  <c r="AB11" i="2"/>
  <c r="AV10" i="2"/>
  <c r="AK10" i="2"/>
  <c r="AR10" i="2"/>
  <c r="AQ10" i="2"/>
  <c r="AP10" i="2"/>
  <c r="AO10" i="2"/>
  <c r="AN10" i="2"/>
  <c r="AM10" i="2"/>
  <c r="AL10" i="2"/>
  <c r="AJ10" i="2"/>
  <c r="AI10" i="2"/>
  <c r="AH10" i="2"/>
  <c r="AG10" i="2"/>
  <c r="AF10" i="2"/>
  <c r="AE10" i="2"/>
  <c r="AD10" i="2"/>
  <c r="AC10" i="2"/>
  <c r="AB10" i="2"/>
  <c r="AA10" i="2"/>
  <c r="Z10" i="2"/>
  <c r="G10" i="2"/>
  <c r="Y10" i="2"/>
  <c r="W10" i="2"/>
  <c r="V10" i="2"/>
  <c r="T10" i="2"/>
  <c r="P10" i="2"/>
  <c r="N10" i="2"/>
  <c r="L10" i="2"/>
  <c r="I10" i="2"/>
  <c r="X10" i="2"/>
  <c r="S10" i="2"/>
  <c r="U10" i="2"/>
  <c r="R10" i="2"/>
  <c r="Q10" i="2"/>
  <c r="O10" i="2"/>
  <c r="M10" i="2"/>
  <c r="K10" i="2"/>
  <c r="H10" i="2"/>
  <c r="J10" i="2"/>
  <c r="AS10" i="2"/>
  <c r="AT10" i="2"/>
  <c r="AU10" i="2"/>
  <c r="P9" i="2"/>
  <c r="O9" i="2"/>
  <c r="N9" i="2"/>
  <c r="M9" i="2"/>
  <c r="K9" i="2"/>
  <c r="I9" i="2"/>
  <c r="X9" i="2"/>
  <c r="AR9" i="2"/>
  <c r="AT9" i="2"/>
  <c r="AP9" i="2"/>
  <c r="AV9" i="2"/>
  <c r="AU9" i="2"/>
  <c r="AS9" i="2"/>
  <c r="AQ9" i="2"/>
  <c r="AO9" i="2"/>
  <c r="AM9" i="2"/>
  <c r="AK9" i="2"/>
  <c r="AI9" i="2"/>
  <c r="AE9" i="2"/>
  <c r="AC9" i="2"/>
  <c r="AA9" i="2"/>
  <c r="V9" i="2"/>
  <c r="S9" i="2"/>
  <c r="AD9" i="2"/>
  <c r="AF9" i="2"/>
  <c r="AG9" i="2"/>
  <c r="AH9" i="2"/>
  <c r="AJ9" i="2"/>
  <c r="AL9" i="2"/>
  <c r="AN9" i="2"/>
  <c r="G9" i="2"/>
  <c r="H9" i="2"/>
  <c r="J9" i="2"/>
  <c r="L9" i="2"/>
  <c r="Q9" i="2"/>
  <c r="R9" i="2"/>
  <c r="T9" i="2"/>
  <c r="U9" i="2"/>
  <c r="W9" i="2"/>
  <c r="Y9" i="2"/>
  <c r="Z9" i="2"/>
  <c r="AB9" i="2"/>
  <c r="U8" i="2"/>
  <c r="AQ8" i="2"/>
  <c r="AO8" i="2"/>
  <c r="AM8" i="2"/>
  <c r="AJ8" i="2"/>
  <c r="AH8" i="2"/>
  <c r="AE8" i="2"/>
  <c r="G8" i="2"/>
  <c r="I8" i="2"/>
  <c r="J8" i="2"/>
  <c r="L8" i="2"/>
  <c r="N8" i="2"/>
  <c r="P8" i="2"/>
  <c r="Q8" i="2"/>
  <c r="T8" i="2"/>
  <c r="AR8" i="2"/>
  <c r="W8" i="2"/>
  <c r="Y8" i="2"/>
  <c r="AA8" i="2"/>
  <c r="M8" i="2"/>
  <c r="AC8" i="2"/>
  <c r="AD8" i="2"/>
  <c r="AF8" i="2"/>
  <c r="AG8" i="2"/>
  <c r="AK8" i="2"/>
  <c r="AL8" i="2"/>
  <c r="AN8" i="2"/>
  <c r="AP8" i="2"/>
  <c r="AS8" i="2"/>
  <c r="AV8" i="2"/>
  <c r="AB8" i="2"/>
  <c r="Z8" i="2"/>
  <c r="X8" i="2"/>
  <c r="K8" i="2"/>
  <c r="H8" i="2"/>
  <c r="AI8" i="2"/>
  <c r="V8" i="2"/>
  <c r="S8" i="2"/>
  <c r="R8" i="2"/>
  <c r="O8" i="2"/>
  <c r="AU8" i="2"/>
  <c r="AT8" i="2"/>
  <c r="AK7" i="2"/>
  <c r="AL7" i="2"/>
  <c r="AO7" i="2"/>
  <c r="AP7" i="2"/>
  <c r="AS7" i="2"/>
  <c r="AU7" i="2"/>
  <c r="O7" i="2"/>
  <c r="Q7" i="2"/>
  <c r="S7" i="2"/>
  <c r="U7" i="2"/>
  <c r="W7" i="2"/>
  <c r="Y7" i="2"/>
  <c r="Z7" i="2"/>
  <c r="AA7" i="2"/>
  <c r="AD7" i="2"/>
  <c r="AF7" i="2"/>
  <c r="AH7" i="2"/>
  <c r="P7" i="2"/>
  <c r="H7" i="2"/>
  <c r="I7" i="2"/>
  <c r="K7" i="2"/>
  <c r="AJ7" i="2"/>
  <c r="G7" i="2"/>
  <c r="J7" i="2"/>
  <c r="L7" i="2"/>
  <c r="N7" i="2"/>
  <c r="R7" i="2"/>
  <c r="T7" i="2"/>
  <c r="V7" i="2"/>
  <c r="X7" i="2"/>
  <c r="AB7" i="2"/>
  <c r="AC7" i="2"/>
  <c r="AE7" i="2"/>
  <c r="AG7" i="2"/>
  <c r="AI7" i="2"/>
  <c r="AM7" i="2"/>
  <c r="AN7" i="2"/>
  <c r="AQ7" i="2"/>
  <c r="AR7" i="2"/>
  <c r="AT7" i="2"/>
  <c r="AV7" i="2"/>
  <c r="M7" i="2"/>
  <c r="R6" i="2"/>
  <c r="P6" i="2"/>
  <c r="N6" i="2"/>
  <c r="K6" i="2"/>
  <c r="H6" i="2"/>
  <c r="U6" i="2"/>
  <c r="X6" i="2"/>
  <c r="Z6" i="2"/>
  <c r="AB6" i="2"/>
  <c r="AD6" i="2"/>
  <c r="AF6" i="2"/>
  <c r="O6" i="2"/>
  <c r="M6" i="2"/>
  <c r="L6" i="2"/>
  <c r="J6" i="2"/>
  <c r="I6" i="2"/>
  <c r="G6" i="2"/>
  <c r="AV6" i="2"/>
  <c r="AU6" i="2"/>
  <c r="AT6" i="2"/>
  <c r="AR6" i="2"/>
  <c r="AQ6" i="2"/>
  <c r="AN6" i="2"/>
  <c r="AM6" i="2"/>
  <c r="AK6" i="2"/>
  <c r="AJ6" i="2"/>
  <c r="AS6" i="2"/>
  <c r="AH6" i="2"/>
  <c r="AG6" i="2"/>
  <c r="AO6" i="2"/>
  <c r="AP6" i="2"/>
  <c r="V6" i="2"/>
  <c r="W6" i="2"/>
  <c r="Y6" i="2"/>
  <c r="AA6" i="2"/>
  <c r="T6" i="2"/>
  <c r="S6" i="2"/>
  <c r="AE6" i="2"/>
  <c r="AI6" i="2"/>
  <c r="AL6" i="2"/>
  <c r="Q6" i="2"/>
  <c r="AC6" i="2"/>
</calcChain>
</file>

<file path=xl/sharedStrings.xml><?xml version="1.0" encoding="utf-8"?>
<sst xmlns="http://schemas.openxmlformats.org/spreadsheetml/2006/main" count="403" uniqueCount="232">
  <si>
    <t>Yehezkiel's PhD Timeline - ANU RSES (3-year plan)</t>
  </si>
  <si>
    <t>Enrolment start date</t>
  </si>
  <si>
    <t>Year 1 Plan + Candidate-Supervisor Agreement due</t>
  </si>
  <si>
    <t>Confirmation of Candidature (oral) target - month 9 (latest allowed: month 12)</t>
  </si>
  <si>
    <t>Final seminar to School (6 months before submission)</t>
  </si>
  <si>
    <t>Target Thesis Submission (3 years)</t>
  </si>
  <si>
    <t>Scholarship program end (3.5 years)</t>
  </si>
  <si>
    <t>Maximum Enrolment Period, MEP (4 years)</t>
  </si>
  <si>
    <t>Maximum Period for Completion, MPC (5 years)</t>
  </si>
  <si>
    <t>Progress (tasks marked Done)</t>
  </si>
  <si>
    <t>ID</t>
  </si>
  <si>
    <t>Phase</t>
  </si>
  <si>
    <t>Task</t>
  </si>
  <si>
    <t>Type</t>
  </si>
  <si>
    <t>Start M</t>
  </si>
  <si>
    <t>End M</t>
  </si>
  <si>
    <t>Start date</t>
  </si>
  <si>
    <t>End date (due)</t>
  </si>
  <si>
    <t>Owner</t>
  </si>
  <si>
    <t>Status</t>
  </si>
  <si>
    <t>Notes</t>
  </si>
  <si>
    <t>T01</t>
  </si>
  <si>
    <t>0 Onboarding (M1-3)</t>
  </si>
  <si>
    <t>ANU mandatory: Rights, Relationships &amp; Respect in Research</t>
  </si>
  <si>
    <t>Me</t>
  </si>
  <si>
    <t>Not started</t>
  </si>
  <si>
    <t>ANU requirement in first 3 months</t>
  </si>
  <si>
    <t>T02</t>
  </si>
  <si>
    <t>ANU mandatory: CORE Cultural Learning</t>
  </si>
  <si>
    <t>T03</t>
  </si>
  <si>
    <t>ANU mandatory: University Work Health &amp; Safety (WHS) induction</t>
  </si>
  <si>
    <t>In progress</t>
  </si>
  <si>
    <t>T04</t>
  </si>
  <si>
    <t>ANU mandatory: Code of Conduct</t>
  </si>
  <si>
    <t>T05</t>
  </si>
  <si>
    <t>Research integrity training</t>
  </si>
  <si>
    <t>T06</t>
  </si>
  <si>
    <t>RSES induction + local WHS (whs.rses@anu.edu.au)</t>
  </si>
  <si>
    <t>T07</t>
  </si>
  <si>
    <t>Set up supervisory panel (Chair + advisors)</t>
  </si>
  <si>
    <t>Me + Supervisor</t>
  </si>
  <si>
    <t>T08</t>
  </si>
  <si>
    <t>Agree expectations with supervisor: feedback turnaround, hours (40 h/wk), WFH vs on-campus, etc</t>
  </si>
  <si>
    <t>Delayed</t>
  </si>
  <si>
    <t>Common source of misunderstanding - settle early and in writing</t>
  </si>
  <si>
    <t>T09</t>
  </si>
  <si>
    <t>Order computer (up to $2k; supervisor emails HDR Admin if &gt; $2k)</t>
  </si>
  <si>
    <t>Robyne Anderson orders through IT</t>
  </si>
  <si>
    <t>T10</t>
  </si>
  <si>
    <t>Check milestones in ANUHub (selfservice.sas.anu.edu.au) and eForms</t>
  </si>
  <si>
    <t>Done</t>
  </si>
  <si>
    <t>Students check ANUHub; supervisors check ANUHub &amp; eForms</t>
  </si>
  <si>
    <t>T11</t>
  </si>
  <si>
    <t>Submit Candidate-Supervisor Agreement + Year 1 Plan</t>
  </si>
  <si>
    <t>Milestone</t>
  </si>
  <si>
    <t>Required for 1st Annual Plan. Revisit the Agreement every year, do not 'set &amp; forget'</t>
  </si>
  <si>
    <t>T12</t>
  </si>
  <si>
    <t>1 Foundation &amp; Confirmation (M1-12)</t>
  </si>
  <si>
    <t>Literature review</t>
  </si>
  <si>
    <t>Feeds the CoC thesis proposal</t>
  </si>
  <si>
    <t>T13</t>
  </si>
  <si>
    <t>Skills assessment &amp; training plan (part of CoC written component)</t>
  </si>
  <si>
    <t>Basis for professional development discussion</t>
  </si>
  <si>
    <t>T14</t>
  </si>
  <si>
    <t>Develop methodology / pilot tests</t>
  </si>
  <si>
    <t>T15</t>
  </si>
  <si>
    <t>Initial results / progress towards results</t>
  </si>
  <si>
    <t>CoC written component must include initial results</t>
  </si>
  <si>
    <t>T16</t>
  </si>
  <si>
    <t>Confirmation Review Panel (CRP) established by Delegated Authority / AD(HDR)</t>
  </si>
  <si>
    <t>AD(HDR)</t>
  </si>
  <si>
    <t>Follows First Year Plan (+/- 3 months)</t>
  </si>
  <si>
    <t>T17</t>
  </si>
  <si>
    <t>Write Thesis Proposal (min 4,000 words: lit review, method, original contribution, initial results, timeline, resources, skills assessment)</t>
  </si>
  <si>
    <t>Prepared with supervisory panel</t>
  </si>
  <si>
    <t>T18</t>
  </si>
  <si>
    <t>Primary Supervisor approves proposal; submit to CRP (&gt;= 10 working days before oral)</t>
  </si>
  <si>
    <t>Hard rule: at least 10 working days before oral presentation</t>
  </si>
  <si>
    <t>T19</t>
  </si>
  <si>
    <t>CRP Chair greeting / meeting with candidate (1 month prior to CoC)</t>
  </si>
  <si>
    <t>CRP Chair</t>
  </si>
  <si>
    <t>T20</t>
  </si>
  <si>
    <t>Prepare CoC oral presentation (20-30 min + up to 20 min discussion)</t>
  </si>
  <si>
    <t>Open to all RSES; all CRP members must attend</t>
  </si>
  <si>
    <t>T21</t>
  </si>
  <si>
    <t>CoC oral presentation - aim for EARLIER time (month 9)</t>
  </si>
  <si>
    <t>PhD window is 9(-12) months. Deck asks students to aim for the earlier time so amendments still fit</t>
  </si>
  <si>
    <t>T22</t>
  </si>
  <si>
    <t>CRP outcome / amendments window (to month 12 latest)</t>
  </si>
  <si>
    <t>CRP / Me</t>
  </si>
  <si>
    <t>Outcomes: continue, convert, withdraw, discontinue; amendments -&gt; further CRP review</t>
  </si>
  <si>
    <t>T23</t>
  </si>
  <si>
    <t>Attend RSES Thursday seminars (13:00-14:00, J1) and ask questions</t>
  </si>
  <si>
    <t>Attendance expected as part of CoC; keep going afterwards</t>
  </si>
  <si>
    <t>T24</t>
  </si>
  <si>
    <t>2 Core research (M9-26)</t>
  </si>
  <si>
    <t>Year 2 Annual Report / Plan (eForm, bullets, &lt; 2 pages)</t>
  </si>
  <si>
    <t>Me + Chair</t>
  </si>
  <si>
    <t>Discuss with supervisor/Chair &amp; advisory committee before submitting. If CoC slips near this date, submit together and refer to CoC</t>
  </si>
  <si>
    <t>T25</t>
  </si>
  <si>
    <t>Main analysis / method application - part 1</t>
  </si>
  <si>
    <t>T26</t>
  </si>
  <si>
    <t>Paper 1: draft, submit to journal</t>
  </si>
  <si>
    <t>Reuse in thesis chapters</t>
  </si>
  <si>
    <t>T27</t>
  </si>
  <si>
    <t>Main analysis - part 2 / validation</t>
  </si>
  <si>
    <t>T28</t>
  </si>
  <si>
    <t>Conference presentation (travel support up to $5k via AD(HDR); RSES grant deadline 15 March)</t>
  </si>
  <si>
    <t>Check ANU/RSES travel grants each year</t>
  </si>
  <si>
    <t>T29</t>
  </si>
  <si>
    <t>Paper 2: draft, submit to journal</t>
  </si>
  <si>
    <t>T30</t>
  </si>
  <si>
    <t>Year 3 Annual Report / Plan</t>
  </si>
  <si>
    <t>Use it to lock the submission date and examiner plan</t>
  </si>
  <si>
    <t>T31</t>
  </si>
  <si>
    <t>3 Writing &amp; submission (M18-36)</t>
  </si>
  <si>
    <t>Thesis outline &amp; chapter plan agreed with supervisors</t>
  </si>
  <si>
    <t>T32</t>
  </si>
  <si>
    <t>Write background &amp; methods chapters (reuse CoC proposal)</t>
  </si>
  <si>
    <t>T33</t>
  </si>
  <si>
    <t>Write results chapters (reuse papers)</t>
  </si>
  <si>
    <t>T34</t>
  </si>
  <si>
    <t>Write discussion, conclusions, introduction</t>
  </si>
  <si>
    <t>T35</t>
  </si>
  <si>
    <t>Final seminar to School (6 months before anticipated submission)</t>
  </si>
  <si>
    <t>PhD Final Seminars: Tuesdays 16:00, J1 Seminar Room</t>
  </si>
  <si>
    <t>T36</t>
  </si>
  <si>
    <t>Full thesis draft to supervisors / panel</t>
  </si>
  <si>
    <t>Allow supervisors reasonable turnaround time</t>
  </si>
  <si>
    <t>T37</t>
  </si>
  <si>
    <t>Revisions after supervisor feedback</t>
  </si>
  <si>
    <t>T38</t>
  </si>
  <si>
    <t>Notification of Intent to Submit (NOI): thesis format, oral exam opt-in, access restriction</t>
  </si>
  <si>
    <t>About 2 months before submission</t>
  </si>
  <si>
    <t>T39</t>
  </si>
  <si>
    <t>Nomination of Examiners (NOE)</t>
  </si>
  <si>
    <t>T40</t>
  </si>
  <si>
    <t>Pre-submission iThenticate similarity review with supervisor</t>
  </si>
  <si>
    <t>T41</t>
  </si>
  <si>
    <t>Final formatting &amp; proofread</t>
  </si>
  <si>
    <t>T42</t>
  </si>
  <si>
    <t>THESIS SUBMISSION: submission form + final upload + supervisor endorsement</t>
  </si>
  <si>
    <t>Scholarship ends at final thesis upload</t>
  </si>
  <si>
    <t>T43</t>
  </si>
  <si>
    <t>4 Post-submission / buffer</t>
  </si>
  <si>
    <t>Thesis examination (duration varies); oral exam mandatory if candidature began on/after 1 July 2024</t>
  </si>
  <si>
    <t>Examiners</t>
  </si>
  <si>
    <t>Oral exam optional for candidates who began before July 2024</t>
  </si>
  <si>
    <t>T44</t>
  </si>
  <si>
    <t>Buffer: scholarship program end at 3.5 years (contingency if anything slips)</t>
  </si>
  <si>
    <t>-</t>
  </si>
  <si>
    <t>MEP 4 years; MPC 5 years; extensions beyond 4 years are more difficult</t>
  </si>
  <si>
    <t>Gantt - 42 months (36-month plan + 6-month buffer)</t>
  </si>
  <si>
    <t>Year 1</t>
  </si>
  <si>
    <t>Year 2</t>
  </si>
  <si>
    <t>Year 3</t>
  </si>
  <si>
    <t>Buffer</t>
  </si>
  <si>
    <t>ANU / RSES rules extracted from the onboarding deck</t>
  </si>
  <si>
    <t>Area</t>
  </si>
  <si>
    <t>Requirement (from the deck)</t>
  </si>
  <si>
    <t>What it means for a 3-year plan</t>
  </si>
  <si>
    <t>Slide</t>
  </si>
  <si>
    <t>Program length</t>
  </si>
  <si>
    <t>Scholarship program end 3.5 yrs; Max Enrolment Period (MEP) 4 yrs (A Dean approves extension); Max Period for Completion (MPC) 5 yrs (PVC Research Training approves). Beyond 4 years, extensions are now more difficult.</t>
  </si>
  <si>
    <t>Submitting at month 36 leaves ~6 months of scholarship buffer. Do not plan on extensions.</t>
  </si>
  <si>
    <t>11-12</t>
  </si>
  <si>
    <t>First 3 months</t>
  </si>
  <si>
    <t>ANU requirements: Rights, Relationships &amp; Respect in Research; CORE Cultural Learning; University WHS induction; Code of Conduct. Plus research integrity, RSES induction/WHS, set up supervisory panel.</t>
  </si>
  <si>
    <t>Finish all compliance items by month 3 so they never block later milestones.</t>
  </si>
  <si>
    <t>Year 1 Plan + Agreement</t>
  </si>
  <si>
    <t>Yr 1 Plan needs the Candidate-Supervisor Agreement. Many treat it as 'set &amp; forget' but it is a communication tool for every year; paperwork is used if issues escalate to AD(HDR).</t>
  </si>
  <si>
    <t>Agree feedback turnaround and expectations in writing in month 1-3; revisit yearly.</t>
  </si>
  <si>
    <t>11, 18</t>
  </si>
  <si>
    <t>Confirmation of Candidature (CoC)</t>
  </si>
  <si>
    <t>A PLAN, not a mid-term review. Goal: check the project is feasible and resources/training are in place. PhD: 9 (-12) months. Aim for the earlier time so the CoC completes on time if amendments are needed.</t>
  </si>
  <si>
    <t>Target month 9; months 10-12 are the amendment buffer.</t>
  </si>
  <si>
    <t>13</t>
  </si>
  <si>
    <t>CoC written component</t>
  </si>
  <si>
    <t>Thesis proposal, min 4,000 words, approved by Primary Supervisor, submitted at least 10 working days before the oral. Must include: literature review, methodology, original contribution, initial results, timeline/project plan within program length, resources &amp; funding, accessibility needs (optional), skills assessment.</t>
  </si>
  <si>
    <t>Have initial results and a realistic 3-year plan ready by month 8.</t>
  </si>
  <si>
    <t>14</t>
  </si>
  <si>
    <t>CoC oral component</t>
  </si>
  <si>
    <t>20-30 min presentation + up to 20 min discussion, based on the written proposal, open to all RSES; all CRP members must attend. CRP Chair meets the candidate 1 month prior. Attend RSES seminars.</t>
  </si>
  <si>
    <t>Book CRP dates early: all panel members must be available.</t>
  </si>
  <si>
    <t>13-14</t>
  </si>
  <si>
    <t>Annual Plan / Report</t>
  </si>
  <si>
    <t>Yearly eForm: reflect on progress and plans (bullet points, &lt; 2 pages). Discuss with supervisor/Chair and advisory committee before submission; Chair assesses vs previous report; AD(HDR) approves.</t>
  </si>
  <si>
    <t>Year 2 report ~month 12, Year 3 report ~month 24.</t>
  </si>
  <si>
    <t>15-16</t>
  </si>
  <si>
    <t>Paperwork tip</t>
  </si>
  <si>
    <t>Submit the RSES annual report at the same time as CoC (or MidTerm Review) and simply refer to it.</t>
  </si>
  <si>
    <t>If the CoC falls near the annual report date, submit together.</t>
  </si>
  <si>
    <t>20</t>
  </si>
  <si>
    <t>Final stages</t>
  </si>
  <si>
    <t>Oral presentation to School 6 months before anticipated submission. Notification of Intent to Submit (NOI) and Nomination of Examiners (NOE) about 2 months prior. Pre-submission iThenticate review with supervisor. Submission form + final thesis upload (scholarship ends). Supervisor endorsement. Oral examination mandatory for candidatures that began on/after 1 July 2024.</t>
  </si>
  <si>
    <t>Final seminar month 30, NOI/NOE month 34, iThenticate month 35, submission month 36.</t>
  </si>
  <si>
    <t>17</t>
  </si>
  <si>
    <t>Progress tracking</t>
  </si>
  <si>
    <t>Students check ANUHub (selfservice.sas.anu.edu.au); supervisors check ANUHub and eForms. Students are expected to complete milestones on time.</t>
  </si>
  <si>
    <t>Set calendar reminders from the Timeline dates.</t>
  </si>
  <si>
    <t>19</t>
  </si>
  <si>
    <t>Work hours</t>
  </si>
  <si>
    <t>40 hours per week; discuss productivity vs hours and WFH/on-campus with supervisor; AD(HDR) if conflict. Normal hours 08:00-18:00 Mon-Fri; out-of-hours access via Outlook calendar; no work 23:00-06:00.</t>
  </si>
  <si>
    <t>21</t>
  </si>
  <si>
    <t>Leave</t>
  </si>
  <si>
    <t>Recreational leave 4 weeks/year: discuss in writing with Chair &amp; Supervisor, inform HDR Administrator. Program leave (personal/medical/parental): min 1 week per instance, max 2 years total; medical/parental need documentation.</t>
  </si>
  <si>
    <t>This plan assumes NO program leave. Any program leave would push all dates back.</t>
  </si>
  <si>
    <t>22</t>
  </si>
  <si>
    <t>International candidates</t>
  </si>
  <si>
    <t>Check visa conditions before applying for program leave; program leave only for 'compelling or compassionate' reasons; expected to be outside Australia while on leave.</t>
  </si>
  <si>
    <t>Confirm visa conditions and end date against the 3-year plan.</t>
  </si>
  <si>
    <t>23</t>
  </si>
  <si>
    <t>Off-campus candidates</t>
  </si>
  <si>
    <t>Special forms required; normally 18 months residency at ANU - talk to Robyne &amp; Penny.</t>
  </si>
  <si>
    <t>If had plan to be off-campus, check this early.</t>
  </si>
  <si>
    <t>Money &amp; travel</t>
  </si>
  <si>
    <t>Computer $2k (supervisor emails Robyne for &gt; $2k); stationery from Reception; research support via supervisor; travel support up to $5k administered by AD(HDR).</t>
  </si>
  <si>
    <t>24</t>
  </si>
  <si>
    <t>Scholarships &amp; prizes</t>
  </si>
  <si>
    <t>Vice Chancellor's travel grant; RSES travel grants (deadline March 15): Paterson Fellowship, Sue Kesson, DA Brown Award; Robert Hill Memorial Prize.</t>
  </si>
  <si>
    <t>Plan conference travel around the 15 March deadline.</t>
  </si>
  <si>
    <t>25</t>
  </si>
  <si>
    <t>Seminars &amp; courses</t>
  </si>
  <si>
    <t>Thursday School Seminar 13:00-14:00 J1 (attendance expected as part of CoC); PhD Final Seminars Tuesdays 16:00 J1; UG/Master courses can be audited by consulting convener (no registration).</t>
  </si>
  <si>
    <t>26</t>
  </si>
  <si>
    <t>Optional development</t>
  </si>
  <si>
    <t>HDR internships, 3-Minute Thesis (3MT), professional societies, demonstrating (applications twice a year).</t>
  </si>
  <si>
    <t>Optional: keep them limited so they do not delay the 3-year target.</t>
  </si>
  <si>
    <t>27-28</t>
  </si>
  <si>
    <t>Key contacts</t>
  </si>
  <si>
    <t>HDR Administrator Robyne Anderson hdr.cosm@anu.edu.au; AD(HDR) Penny King da.hdr.rses@anu.edu.au; RSES WHS whs.rses@anu.edu.au; Counselling +61 2 6215 2211; ANU Security 02 6125 2249; emergency 000 (0-000 from internal phone).</t>
  </si>
  <si>
    <t>4, 29-30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</si>
</sst>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;;;"/>
  </numFmts>
  <fonts count="16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6"/>
      <color rgb="FF1F3864"/>
      <name val="Arial"/>
      <charset val="1"/>
    </font>
    <font>
      <i/>
      <sz val="10"/>
      <color rgb="FF595959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b/>
      <sz val="14"/>
      <color rgb="FF1F3864"/>
      <name val="Arial"/>
      <charset val="1"/>
    </font>
    <font>
      <b/>
      <sz val="9"/>
      <color rgb="FFFFFFFF"/>
      <name val="Arial"/>
      <charset val="1"/>
    </font>
    <font>
      <b/>
      <sz val="8"/>
      <color rgb="FFFFFFFF"/>
      <name val="Arial"/>
      <charset val="1"/>
    </font>
    <font>
      <sz val="8"/>
      <color rgb="FF000000"/>
      <name val="Arial"/>
      <charset val="1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ADCF4"/>
      </patternFill>
    </fill>
    <fill>
      <patternFill patternType="solid">
        <fgColor rgb="FFE2EFDA"/>
        <bgColor rgb="FFEDEDED"/>
      </patternFill>
    </fill>
    <fill>
      <patternFill patternType="solid">
        <fgColor rgb="FFEADCF4"/>
        <bgColor rgb="FFD9E2F3"/>
      </patternFill>
    </fill>
    <fill>
      <patternFill patternType="solid">
        <fgColor rgb="FFEDEDED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7" fillId="0" borderId="0" xfId="0" applyFont="1"/>
    <xf numFmtId="0" fontId="4" fillId="3" borderId="0" xfId="0" applyFont="1" applyFill="1"/>
    <xf numFmtId="0" fontId="0" fillId="3" borderId="0" xfId="0" applyFill="1"/>
    <xf numFmtId="0" fontId="4" fillId="4" borderId="0" xfId="0" applyFont="1" applyFill="1"/>
    <xf numFmtId="0" fontId="0" fillId="4" borderId="0" xfId="0" applyFill="1"/>
    <xf numFmtId="0" fontId="4" fillId="5" borderId="0" xfId="0" applyFont="1" applyFill="1"/>
    <xf numFmtId="0" fontId="0" fillId="5" borderId="0" xfId="0" applyFill="1"/>
    <xf numFmtId="0" fontId="4" fillId="6" borderId="0" xfId="0" applyFont="1" applyFill="1"/>
    <xf numFmtId="0" fontId="0" fillId="6" borderId="0" xfId="0" applyFill="1"/>
    <xf numFmtId="0" fontId="6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0" fillId="2" borderId="0" xfId="0" applyFill="1"/>
    <xf numFmtId="0" fontId="9" fillId="2" borderId="0" xfId="0" applyFont="1" applyFill="1" applyAlignment="1">
      <alignment horizontal="center" vertical="center" textRotation="90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10" fillId="0" borderId="1" xfId="0" applyNumberFormat="1" applyFont="1" applyBorder="1"/>
    <xf numFmtId="0" fontId="11" fillId="0" borderId="0" xfId="0" applyFont="1"/>
    <xf numFmtId="0" fontId="1" fillId="0" borderId="0" xfId="0" applyFont="1"/>
    <xf numFmtId="0" fontId="12" fillId="0" borderId="0" xfId="0" applyFont="1"/>
    <xf numFmtId="164" fontId="12" fillId="0" borderId="0" xfId="0" applyNumberFormat="1" applyFont="1" applyAlignment="1">
      <alignment horizontal="center"/>
    </xf>
    <xf numFmtId="164" fontId="11" fillId="0" borderId="0" xfId="0" applyNumberFormat="1" applyFont="1" applyAlignment="1">
      <alignment horizontal="center"/>
    </xf>
    <xf numFmtId="9" fontId="12" fillId="0" borderId="0" xfId="0" applyNumberFormat="1" applyFont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top" wrapText="1"/>
    </xf>
    <xf numFmtId="164" fontId="14" fillId="0" borderId="1" xfId="0" applyNumberFormat="1" applyFont="1" applyBorder="1" applyAlignment="1">
      <alignment horizontal="center" vertical="top" wrapText="1"/>
    </xf>
    <xf numFmtId="0" fontId="14" fillId="0" borderId="1" xfId="0" applyFont="1" applyBorder="1" applyAlignment="1">
      <alignment horizontal="left" vertical="top" wrapText="1"/>
    </xf>
    <xf numFmtId="164" fontId="15" fillId="0" borderId="0" xfId="0" applyNumberFormat="1" applyFont="1" applyAlignment="1">
      <alignment horizontal="center"/>
    </xf>
    <xf numFmtId="0" fontId="13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top"/>
    </xf>
  </cellXfs>
  <cellStyles count="1">
    <cellStyle name="Normal" xfId="0" builtinId="0"/>
  </cellStyles>
  <dxfs count="15">
    <dxf>
      <fill>
        <patternFill>
          <bgColor rgb="FF7F7F7F"/>
        </patternFill>
      </fill>
    </dxf>
    <dxf>
      <fill>
        <patternFill>
          <bgColor rgb="FF7030A0"/>
        </patternFill>
      </fill>
    </dxf>
    <dxf>
      <fill>
        <patternFill>
          <bgColor rgb="FF548235"/>
        </patternFill>
      </fill>
    </dxf>
    <dxf>
      <fill>
        <patternFill>
          <bgColor rgb="FF2F75B5"/>
        </patternFill>
      </fill>
    </dxf>
    <dxf>
      <fill>
        <patternFill>
          <bgColor rgb="FF8EA9DB"/>
        </patternFill>
      </fill>
    </dxf>
    <dxf>
      <fill>
        <patternFill>
          <bgColor rgb="FFED7D31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ont>
        <b/>
        <i val="0"/>
        <color rgb="FFFF0000"/>
      </font>
    </dxf>
    <dxf>
      <font>
        <b val="0"/>
        <i val="0"/>
        <color rgb="FFFFC000"/>
      </font>
    </dxf>
    <dxf>
      <font>
        <b val="0"/>
        <i val="0"/>
        <color theme="5" tint="-0.24994659260841701"/>
      </font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8EA9DB"/>
      <rgbColor rgb="FF7030A0"/>
      <rgbColor rgb="FFEDEDED"/>
      <rgbColor rgb="FFE2EFDA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DCF4"/>
      <rgbColor rgb="FFC6EFCE"/>
      <rgbColor rgb="FFFFEB9C"/>
      <rgbColor rgb="FF99CCFF"/>
      <rgbColor rgb="FFFF99CC"/>
      <rgbColor rgb="FFCC99FF"/>
      <rgbColor rgb="FFFFC7CE"/>
      <rgbColor rgb="FF2F75B5"/>
      <rgbColor rgb="FF33CCCC"/>
      <rgbColor rgb="FF99CC00"/>
      <rgbColor rgb="FFFFCC00"/>
      <rgbColor rgb="FFFF9900"/>
      <rgbColor rgb="FFED7D3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C7CE"/>
      <color rgb="FFFFEB9C"/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8"/>
  <sheetViews>
    <sheetView tabSelected="1" zoomScale="115" zoomScaleNormal="115" workbookViewId="0">
      <pane ySplit="13" topLeftCell="A14" activePane="bottomLeft" state="frozen"/>
      <selection pane="bottomLeft" activeCell="J14" sqref="J14"/>
    </sheetView>
  </sheetViews>
  <sheetFormatPr defaultColWidth="8.7109375" defaultRowHeight="14.65"/>
  <cols>
    <col min="1" max="1" width="6" customWidth="1"/>
    <col min="2" max="2" width="19.140625" customWidth="1"/>
    <col min="3" max="3" width="62.85546875" customWidth="1"/>
    <col min="4" max="4" width="11.42578125" bestFit="1" customWidth="1"/>
    <col min="5" max="6" width="8" customWidth="1"/>
    <col min="7" max="7" width="13" customWidth="1"/>
    <col min="8" max="8" width="14" customWidth="1"/>
    <col min="9" max="9" width="17" customWidth="1"/>
    <col min="10" max="10" width="13" customWidth="1"/>
    <col min="11" max="11" width="97.42578125" bestFit="1" customWidth="1"/>
  </cols>
  <sheetData>
    <row r="1" spans="1:11" ht="20.100000000000001">
      <c r="A1" s="1" t="s">
        <v>0</v>
      </c>
    </row>
    <row r="2" spans="1:11">
      <c r="A2" s="2"/>
    </row>
    <row r="3" spans="1:11">
      <c r="A3" s="22" t="s">
        <v>1</v>
      </c>
      <c r="B3" s="23"/>
      <c r="C3" s="23"/>
      <c r="D3" s="36">
        <v>46294</v>
      </c>
      <c r="E3" s="23"/>
      <c r="F3" s="23"/>
      <c r="G3" s="23"/>
      <c r="H3" s="23"/>
      <c r="I3" s="23"/>
      <c r="J3" s="23"/>
      <c r="K3" s="23"/>
    </row>
    <row r="4" spans="1:11">
      <c r="A4" s="24" t="s">
        <v>2</v>
      </c>
      <c r="B4" s="23"/>
      <c r="C4" s="23"/>
      <c r="D4" s="25">
        <f>H24</f>
        <v>46384</v>
      </c>
      <c r="E4" s="23"/>
      <c r="F4" s="23"/>
      <c r="G4" s="23"/>
      <c r="H4" s="23"/>
      <c r="I4" s="23"/>
      <c r="J4" s="23"/>
      <c r="K4" s="23"/>
    </row>
    <row r="5" spans="1:11">
      <c r="A5" s="24" t="s">
        <v>3</v>
      </c>
      <c r="B5" s="23"/>
      <c r="C5" s="23"/>
      <c r="D5" s="25">
        <f>H34</f>
        <v>46566</v>
      </c>
      <c r="E5" s="23"/>
      <c r="F5" s="23"/>
      <c r="G5" s="23"/>
      <c r="H5" s="23"/>
      <c r="I5" s="23"/>
      <c r="J5" s="23"/>
      <c r="K5" s="23"/>
    </row>
    <row r="6" spans="1:11">
      <c r="A6" s="24" t="s">
        <v>4</v>
      </c>
      <c r="B6" s="23"/>
      <c r="C6" s="23"/>
      <c r="D6" s="25">
        <f>H48</f>
        <v>47205</v>
      </c>
      <c r="E6" s="23"/>
      <c r="F6" s="23"/>
      <c r="G6" s="23"/>
      <c r="H6" s="23"/>
      <c r="I6" s="23"/>
      <c r="J6" s="23"/>
      <c r="K6" s="23"/>
    </row>
    <row r="7" spans="1:11">
      <c r="A7" s="22" t="s">
        <v>5</v>
      </c>
      <c r="B7" s="23"/>
      <c r="C7" s="23"/>
      <c r="D7" s="26">
        <f>H55</f>
        <v>47389</v>
      </c>
      <c r="E7" s="23"/>
      <c r="F7" s="23"/>
      <c r="G7" s="23"/>
      <c r="H7" s="23"/>
      <c r="I7" s="23"/>
      <c r="J7" s="23"/>
      <c r="K7" s="23"/>
    </row>
    <row r="8" spans="1:11">
      <c r="A8" s="24" t="s">
        <v>6</v>
      </c>
      <c r="B8" s="23"/>
      <c r="C8" s="23"/>
      <c r="D8" s="25">
        <f>EDATE($D$3,42)-1</f>
        <v>47570</v>
      </c>
      <c r="E8" s="23"/>
      <c r="F8" s="23"/>
      <c r="G8" s="23"/>
      <c r="H8" s="23"/>
      <c r="I8" s="23"/>
      <c r="J8" s="23"/>
      <c r="K8" s="23"/>
    </row>
    <row r="9" spans="1:11">
      <c r="A9" s="24" t="s">
        <v>7</v>
      </c>
      <c r="B9" s="23"/>
      <c r="C9" s="23"/>
      <c r="D9" s="25">
        <f>EDATE($D$3,48)-1</f>
        <v>47754</v>
      </c>
      <c r="E9" s="23"/>
      <c r="F9" s="23"/>
      <c r="G9" s="23"/>
      <c r="H9" s="23"/>
      <c r="I9" s="23"/>
      <c r="J9" s="23"/>
      <c r="K9" s="23"/>
    </row>
    <row r="10" spans="1:11">
      <c r="A10" s="24" t="s">
        <v>8</v>
      </c>
      <c r="B10" s="23"/>
      <c r="C10" s="23"/>
      <c r="D10" s="25">
        <f>EDATE($D$3,60)-1</f>
        <v>48119</v>
      </c>
      <c r="E10" s="23"/>
      <c r="F10" s="23"/>
      <c r="G10" s="23"/>
      <c r="H10" s="23"/>
      <c r="I10" s="23"/>
      <c r="J10" s="23"/>
      <c r="K10" s="23"/>
    </row>
    <row r="11" spans="1:11">
      <c r="A11" s="24" t="s">
        <v>9</v>
      </c>
      <c r="B11" s="23"/>
      <c r="C11" s="23"/>
      <c r="D11" s="27">
        <f>COUNTIF(J14:J57,"Done")/COUNTA(A14:A57)</f>
        <v>2.2727272727272728E-2</v>
      </c>
      <c r="E11" s="23"/>
      <c r="F11" s="23"/>
      <c r="G11" s="23"/>
      <c r="H11" s="23"/>
      <c r="I11" s="23"/>
      <c r="J11" s="23"/>
      <c r="K11" s="23"/>
    </row>
    <row r="12" spans="1:11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27.75" customHeight="1">
      <c r="A13" s="28" t="s">
        <v>10</v>
      </c>
      <c r="B13" s="37" t="s">
        <v>11</v>
      </c>
      <c r="C13" s="28" t="s">
        <v>12</v>
      </c>
      <c r="D13" s="28" t="s">
        <v>13</v>
      </c>
      <c r="E13" s="28" t="s">
        <v>14</v>
      </c>
      <c r="F13" s="28" t="s">
        <v>15</v>
      </c>
      <c r="G13" s="28" t="s">
        <v>16</v>
      </c>
      <c r="H13" s="28" t="s">
        <v>17</v>
      </c>
      <c r="I13" s="28" t="s">
        <v>18</v>
      </c>
      <c r="J13" s="28" t="s">
        <v>19</v>
      </c>
      <c r="K13" s="28" t="s">
        <v>20</v>
      </c>
    </row>
    <row r="14" spans="1:11" ht="15">
      <c r="A14" s="29" t="s">
        <v>21</v>
      </c>
      <c r="B14" s="38" t="s">
        <v>22</v>
      </c>
      <c r="C14" s="30" t="s">
        <v>23</v>
      </c>
      <c r="D14" s="29" t="s">
        <v>12</v>
      </c>
      <c r="E14" s="33">
        <v>1</v>
      </c>
      <c r="F14" s="33">
        <v>2</v>
      </c>
      <c r="G14" s="34">
        <f t="shared" ref="G14:G57" si="0">EDATE($D$3,E14-1)</f>
        <v>46294</v>
      </c>
      <c r="H14" s="34">
        <f t="shared" ref="H14:H57" si="1">EDATE($D$3,F14)-1</f>
        <v>46354</v>
      </c>
      <c r="I14" s="35" t="s">
        <v>24</v>
      </c>
      <c r="J14" s="33" t="s">
        <v>25</v>
      </c>
      <c r="K14" s="30" t="s">
        <v>26</v>
      </c>
    </row>
    <row r="15" spans="1:11">
      <c r="A15" s="29" t="s">
        <v>27</v>
      </c>
      <c r="B15" s="38" t="s">
        <v>22</v>
      </c>
      <c r="C15" s="30" t="s">
        <v>28</v>
      </c>
      <c r="D15" s="29" t="s">
        <v>12</v>
      </c>
      <c r="E15" s="33">
        <v>1</v>
      </c>
      <c r="F15" s="33">
        <v>2</v>
      </c>
      <c r="G15" s="34">
        <f t="shared" si="0"/>
        <v>46294</v>
      </c>
      <c r="H15" s="34">
        <f t="shared" si="1"/>
        <v>46354</v>
      </c>
      <c r="I15" s="35" t="s">
        <v>24</v>
      </c>
      <c r="J15" s="33" t="s">
        <v>25</v>
      </c>
      <c r="K15" s="30"/>
    </row>
    <row r="16" spans="1:11">
      <c r="A16" s="29" t="s">
        <v>29</v>
      </c>
      <c r="B16" s="38" t="s">
        <v>22</v>
      </c>
      <c r="C16" s="30" t="s">
        <v>30</v>
      </c>
      <c r="D16" s="29" t="s">
        <v>12</v>
      </c>
      <c r="E16" s="33">
        <v>1</v>
      </c>
      <c r="F16" s="33">
        <v>2</v>
      </c>
      <c r="G16" s="34">
        <f t="shared" si="0"/>
        <v>46294</v>
      </c>
      <c r="H16" s="34">
        <f t="shared" si="1"/>
        <v>46354</v>
      </c>
      <c r="I16" s="35" t="s">
        <v>24</v>
      </c>
      <c r="J16" s="33" t="s">
        <v>31</v>
      </c>
      <c r="K16" s="30"/>
    </row>
    <row r="17" spans="1:11">
      <c r="A17" s="29" t="s">
        <v>32</v>
      </c>
      <c r="B17" s="38" t="s">
        <v>22</v>
      </c>
      <c r="C17" s="30" t="s">
        <v>33</v>
      </c>
      <c r="D17" s="29" t="s">
        <v>12</v>
      </c>
      <c r="E17" s="33">
        <v>1</v>
      </c>
      <c r="F17" s="33">
        <v>2</v>
      </c>
      <c r="G17" s="34">
        <f t="shared" si="0"/>
        <v>46294</v>
      </c>
      <c r="H17" s="34">
        <f t="shared" si="1"/>
        <v>46354</v>
      </c>
      <c r="I17" s="35" t="s">
        <v>24</v>
      </c>
      <c r="J17" s="33" t="s">
        <v>31</v>
      </c>
      <c r="K17" s="30"/>
    </row>
    <row r="18" spans="1:11">
      <c r="A18" s="29" t="s">
        <v>34</v>
      </c>
      <c r="B18" s="38" t="s">
        <v>22</v>
      </c>
      <c r="C18" s="30" t="s">
        <v>35</v>
      </c>
      <c r="D18" s="29" t="s">
        <v>12</v>
      </c>
      <c r="E18" s="33">
        <v>1</v>
      </c>
      <c r="F18" s="33">
        <v>3</v>
      </c>
      <c r="G18" s="34">
        <f t="shared" si="0"/>
        <v>46294</v>
      </c>
      <c r="H18" s="34">
        <f t="shared" si="1"/>
        <v>46384</v>
      </c>
      <c r="I18" s="35" t="s">
        <v>24</v>
      </c>
      <c r="J18" s="33" t="s">
        <v>31</v>
      </c>
      <c r="K18" s="30"/>
    </row>
    <row r="19" spans="1:11">
      <c r="A19" s="29" t="s">
        <v>36</v>
      </c>
      <c r="B19" s="38" t="s">
        <v>22</v>
      </c>
      <c r="C19" s="30" t="s">
        <v>37</v>
      </c>
      <c r="D19" s="29" t="s">
        <v>12</v>
      </c>
      <c r="E19" s="33">
        <v>1</v>
      </c>
      <c r="F19" s="33">
        <v>2</v>
      </c>
      <c r="G19" s="34">
        <f t="shared" si="0"/>
        <v>46294</v>
      </c>
      <c r="H19" s="34">
        <f t="shared" si="1"/>
        <v>46354</v>
      </c>
      <c r="I19" s="35" t="s">
        <v>24</v>
      </c>
      <c r="J19" s="33" t="s">
        <v>25</v>
      </c>
      <c r="K19" s="30"/>
    </row>
    <row r="20" spans="1:11">
      <c r="A20" s="29" t="s">
        <v>38</v>
      </c>
      <c r="B20" s="38" t="s">
        <v>22</v>
      </c>
      <c r="C20" s="30" t="s">
        <v>39</v>
      </c>
      <c r="D20" s="29" t="s">
        <v>12</v>
      </c>
      <c r="E20" s="33">
        <v>1</v>
      </c>
      <c r="F20" s="33">
        <v>2</v>
      </c>
      <c r="G20" s="34">
        <f t="shared" si="0"/>
        <v>46294</v>
      </c>
      <c r="H20" s="34">
        <f t="shared" si="1"/>
        <v>46354</v>
      </c>
      <c r="I20" s="35" t="s">
        <v>40</v>
      </c>
      <c r="J20" s="33" t="s">
        <v>25</v>
      </c>
      <c r="K20" s="30"/>
    </row>
    <row r="21" spans="1:11" ht="25.7">
      <c r="A21" s="29" t="s">
        <v>41</v>
      </c>
      <c r="B21" s="38" t="s">
        <v>22</v>
      </c>
      <c r="C21" s="30" t="s">
        <v>42</v>
      </c>
      <c r="D21" s="29" t="s">
        <v>12</v>
      </c>
      <c r="E21" s="33">
        <v>1</v>
      </c>
      <c r="F21" s="33">
        <v>1</v>
      </c>
      <c r="G21" s="34">
        <f t="shared" si="0"/>
        <v>46294</v>
      </c>
      <c r="H21" s="34">
        <f t="shared" si="1"/>
        <v>46323</v>
      </c>
      <c r="I21" s="35" t="s">
        <v>40</v>
      </c>
      <c r="J21" s="33" t="s">
        <v>43</v>
      </c>
      <c r="K21" s="30" t="s">
        <v>44</v>
      </c>
    </row>
    <row r="22" spans="1:11">
      <c r="A22" s="29" t="s">
        <v>45</v>
      </c>
      <c r="B22" s="38" t="s">
        <v>22</v>
      </c>
      <c r="C22" s="30" t="s">
        <v>46</v>
      </c>
      <c r="D22" s="29" t="s">
        <v>12</v>
      </c>
      <c r="E22" s="33">
        <v>1</v>
      </c>
      <c r="F22" s="33">
        <v>2</v>
      </c>
      <c r="G22" s="34">
        <f t="shared" si="0"/>
        <v>46294</v>
      </c>
      <c r="H22" s="34">
        <f t="shared" si="1"/>
        <v>46354</v>
      </c>
      <c r="I22" s="35" t="s">
        <v>40</v>
      </c>
      <c r="J22" s="33" t="s">
        <v>25</v>
      </c>
      <c r="K22" s="30" t="s">
        <v>47</v>
      </c>
    </row>
    <row r="23" spans="1:11">
      <c r="A23" s="29" t="s">
        <v>48</v>
      </c>
      <c r="B23" s="38" t="s">
        <v>22</v>
      </c>
      <c r="C23" s="30" t="s">
        <v>49</v>
      </c>
      <c r="D23" s="29" t="s">
        <v>12</v>
      </c>
      <c r="E23" s="33">
        <v>1</v>
      </c>
      <c r="F23" s="33">
        <v>1</v>
      </c>
      <c r="G23" s="34">
        <f t="shared" si="0"/>
        <v>46294</v>
      </c>
      <c r="H23" s="34">
        <f t="shared" si="1"/>
        <v>46323</v>
      </c>
      <c r="I23" s="35" t="s">
        <v>24</v>
      </c>
      <c r="J23" s="33" t="s">
        <v>50</v>
      </c>
      <c r="K23" s="30" t="s">
        <v>51</v>
      </c>
    </row>
    <row r="24" spans="1:11">
      <c r="A24" s="29" t="s">
        <v>52</v>
      </c>
      <c r="B24" s="38" t="s">
        <v>22</v>
      </c>
      <c r="C24" s="31" t="s">
        <v>53</v>
      </c>
      <c r="D24" s="32" t="s">
        <v>54</v>
      </c>
      <c r="E24" s="33">
        <v>3</v>
      </c>
      <c r="F24" s="33">
        <v>3</v>
      </c>
      <c r="G24" s="34">
        <f t="shared" si="0"/>
        <v>46355</v>
      </c>
      <c r="H24" s="34">
        <f t="shared" si="1"/>
        <v>46384</v>
      </c>
      <c r="I24" s="35" t="s">
        <v>40</v>
      </c>
      <c r="J24" s="33" t="s">
        <v>25</v>
      </c>
      <c r="K24" s="30" t="s">
        <v>55</v>
      </c>
    </row>
    <row r="25" spans="1:11">
      <c r="A25" s="29" t="s">
        <v>56</v>
      </c>
      <c r="B25" s="38" t="s">
        <v>57</v>
      </c>
      <c r="C25" s="30" t="s">
        <v>58</v>
      </c>
      <c r="D25" s="29" t="s">
        <v>12</v>
      </c>
      <c r="E25" s="33">
        <v>1</v>
      </c>
      <c r="F25" s="33">
        <v>6</v>
      </c>
      <c r="G25" s="34">
        <f t="shared" si="0"/>
        <v>46294</v>
      </c>
      <c r="H25" s="34">
        <f t="shared" si="1"/>
        <v>46474</v>
      </c>
      <c r="I25" s="35" t="s">
        <v>24</v>
      </c>
      <c r="J25" s="33" t="s">
        <v>25</v>
      </c>
      <c r="K25" s="30" t="s">
        <v>59</v>
      </c>
    </row>
    <row r="26" spans="1:11">
      <c r="A26" s="29" t="s">
        <v>60</v>
      </c>
      <c r="B26" s="38" t="s">
        <v>57</v>
      </c>
      <c r="C26" s="30" t="s">
        <v>61</v>
      </c>
      <c r="D26" s="29" t="s">
        <v>12</v>
      </c>
      <c r="E26" s="33">
        <v>2</v>
      </c>
      <c r="F26" s="33">
        <v>4</v>
      </c>
      <c r="G26" s="34">
        <f t="shared" si="0"/>
        <v>46324</v>
      </c>
      <c r="H26" s="34">
        <f t="shared" si="1"/>
        <v>46415</v>
      </c>
      <c r="I26" s="35" t="s">
        <v>40</v>
      </c>
      <c r="J26" s="33" t="s">
        <v>25</v>
      </c>
      <c r="K26" s="30" t="s">
        <v>62</v>
      </c>
    </row>
    <row r="27" spans="1:11">
      <c r="A27" s="29" t="s">
        <v>63</v>
      </c>
      <c r="B27" s="38" t="s">
        <v>57</v>
      </c>
      <c r="C27" s="30" t="s">
        <v>64</v>
      </c>
      <c r="D27" s="29" t="s">
        <v>12</v>
      </c>
      <c r="E27" s="33">
        <v>3</v>
      </c>
      <c r="F27" s="33">
        <v>8</v>
      </c>
      <c r="G27" s="34">
        <f t="shared" si="0"/>
        <v>46355</v>
      </c>
      <c r="H27" s="34">
        <f t="shared" si="1"/>
        <v>46535</v>
      </c>
      <c r="I27" s="35" t="s">
        <v>24</v>
      </c>
      <c r="J27" s="33" t="s">
        <v>25</v>
      </c>
      <c r="K27" s="30"/>
    </row>
    <row r="28" spans="1:11">
      <c r="A28" s="29" t="s">
        <v>65</v>
      </c>
      <c r="B28" s="38" t="s">
        <v>57</v>
      </c>
      <c r="C28" s="30" t="s">
        <v>66</v>
      </c>
      <c r="D28" s="29" t="s">
        <v>12</v>
      </c>
      <c r="E28" s="33">
        <v>5</v>
      </c>
      <c r="F28" s="33">
        <v>8</v>
      </c>
      <c r="G28" s="34">
        <f t="shared" si="0"/>
        <v>46416</v>
      </c>
      <c r="H28" s="34">
        <f t="shared" si="1"/>
        <v>46535</v>
      </c>
      <c r="I28" s="35" t="s">
        <v>24</v>
      </c>
      <c r="J28" s="33" t="s">
        <v>25</v>
      </c>
      <c r="K28" s="30" t="s">
        <v>67</v>
      </c>
    </row>
    <row r="29" spans="1:11">
      <c r="A29" s="29" t="s">
        <v>68</v>
      </c>
      <c r="B29" s="38" t="s">
        <v>57</v>
      </c>
      <c r="C29" s="31" t="s">
        <v>69</v>
      </c>
      <c r="D29" s="32" t="s">
        <v>54</v>
      </c>
      <c r="E29" s="33">
        <v>4</v>
      </c>
      <c r="F29" s="33">
        <v>4</v>
      </c>
      <c r="G29" s="34">
        <f t="shared" si="0"/>
        <v>46385</v>
      </c>
      <c r="H29" s="34">
        <f t="shared" si="1"/>
        <v>46415</v>
      </c>
      <c r="I29" s="35" t="s">
        <v>70</v>
      </c>
      <c r="J29" s="33" t="s">
        <v>25</v>
      </c>
      <c r="K29" s="30" t="s">
        <v>71</v>
      </c>
    </row>
    <row r="30" spans="1:11" ht="25.7">
      <c r="A30" s="29" t="s">
        <v>72</v>
      </c>
      <c r="B30" s="38" t="s">
        <v>57</v>
      </c>
      <c r="C30" s="30" t="s">
        <v>73</v>
      </c>
      <c r="D30" s="29" t="s">
        <v>12</v>
      </c>
      <c r="E30" s="33">
        <v>6</v>
      </c>
      <c r="F30" s="33">
        <v>8</v>
      </c>
      <c r="G30" s="34">
        <f t="shared" si="0"/>
        <v>46446</v>
      </c>
      <c r="H30" s="34">
        <f t="shared" si="1"/>
        <v>46535</v>
      </c>
      <c r="I30" s="35" t="s">
        <v>24</v>
      </c>
      <c r="J30" s="33" t="s">
        <v>25</v>
      </c>
      <c r="K30" s="30" t="s">
        <v>74</v>
      </c>
    </row>
    <row r="31" spans="1:11" ht="25.7">
      <c r="A31" s="29" t="s">
        <v>75</v>
      </c>
      <c r="B31" s="38" t="s">
        <v>57</v>
      </c>
      <c r="C31" s="31" t="s">
        <v>76</v>
      </c>
      <c r="D31" s="32" t="s">
        <v>54</v>
      </c>
      <c r="E31" s="33">
        <v>8</v>
      </c>
      <c r="F31" s="33">
        <v>8</v>
      </c>
      <c r="G31" s="34">
        <f t="shared" si="0"/>
        <v>46506</v>
      </c>
      <c r="H31" s="34">
        <f t="shared" si="1"/>
        <v>46535</v>
      </c>
      <c r="I31" s="35" t="s">
        <v>40</v>
      </c>
      <c r="J31" s="33" t="s">
        <v>25</v>
      </c>
      <c r="K31" s="30" t="s">
        <v>77</v>
      </c>
    </row>
    <row r="32" spans="1:11">
      <c r="A32" s="29" t="s">
        <v>78</v>
      </c>
      <c r="B32" s="38" t="s">
        <v>57</v>
      </c>
      <c r="C32" s="31" t="s">
        <v>79</v>
      </c>
      <c r="D32" s="32" t="s">
        <v>54</v>
      </c>
      <c r="E32" s="33">
        <v>8</v>
      </c>
      <c r="F32" s="33">
        <v>8</v>
      </c>
      <c r="G32" s="34">
        <f t="shared" si="0"/>
        <v>46506</v>
      </c>
      <c r="H32" s="34">
        <f t="shared" si="1"/>
        <v>46535</v>
      </c>
      <c r="I32" s="35" t="s">
        <v>80</v>
      </c>
      <c r="J32" s="33" t="s">
        <v>25</v>
      </c>
      <c r="K32" s="30"/>
    </row>
    <row r="33" spans="1:11">
      <c r="A33" s="29" t="s">
        <v>81</v>
      </c>
      <c r="B33" s="38" t="s">
        <v>57</v>
      </c>
      <c r="C33" s="30" t="s">
        <v>82</v>
      </c>
      <c r="D33" s="29" t="s">
        <v>12</v>
      </c>
      <c r="E33" s="33">
        <v>8</v>
      </c>
      <c r="F33" s="33">
        <v>9</v>
      </c>
      <c r="G33" s="34">
        <f t="shared" si="0"/>
        <v>46506</v>
      </c>
      <c r="H33" s="34">
        <f t="shared" si="1"/>
        <v>46566</v>
      </c>
      <c r="I33" s="35" t="s">
        <v>24</v>
      </c>
      <c r="J33" s="33" t="s">
        <v>25</v>
      </c>
      <c r="K33" s="30" t="s">
        <v>83</v>
      </c>
    </row>
    <row r="34" spans="1:11">
      <c r="A34" s="29" t="s">
        <v>84</v>
      </c>
      <c r="B34" s="38" t="s">
        <v>57</v>
      </c>
      <c r="C34" s="31" t="s">
        <v>85</v>
      </c>
      <c r="D34" s="32" t="s">
        <v>54</v>
      </c>
      <c r="E34" s="33">
        <v>9</v>
      </c>
      <c r="F34" s="33">
        <v>9</v>
      </c>
      <c r="G34" s="34">
        <f t="shared" si="0"/>
        <v>46536</v>
      </c>
      <c r="H34" s="34">
        <f t="shared" si="1"/>
        <v>46566</v>
      </c>
      <c r="I34" s="35" t="s">
        <v>24</v>
      </c>
      <c r="J34" s="33" t="s">
        <v>25</v>
      </c>
      <c r="K34" s="30" t="s">
        <v>86</v>
      </c>
    </row>
    <row r="35" spans="1:11">
      <c r="A35" s="29" t="s">
        <v>87</v>
      </c>
      <c r="B35" s="38" t="s">
        <v>57</v>
      </c>
      <c r="C35" s="30" t="s">
        <v>88</v>
      </c>
      <c r="D35" s="29" t="s">
        <v>12</v>
      </c>
      <c r="E35" s="33">
        <v>9</v>
      </c>
      <c r="F35" s="33">
        <v>12</v>
      </c>
      <c r="G35" s="34">
        <f t="shared" si="0"/>
        <v>46536</v>
      </c>
      <c r="H35" s="34">
        <f t="shared" si="1"/>
        <v>46658</v>
      </c>
      <c r="I35" s="35" t="s">
        <v>89</v>
      </c>
      <c r="J35" s="33" t="s">
        <v>25</v>
      </c>
      <c r="K35" s="30" t="s">
        <v>90</v>
      </c>
    </row>
    <row r="36" spans="1:11">
      <c r="A36" s="29" t="s">
        <v>91</v>
      </c>
      <c r="B36" s="38" t="s">
        <v>57</v>
      </c>
      <c r="C36" s="30" t="s">
        <v>92</v>
      </c>
      <c r="D36" s="29" t="s">
        <v>12</v>
      </c>
      <c r="E36" s="33">
        <v>1</v>
      </c>
      <c r="F36" s="33">
        <v>9</v>
      </c>
      <c r="G36" s="34">
        <f t="shared" si="0"/>
        <v>46294</v>
      </c>
      <c r="H36" s="34">
        <f t="shared" si="1"/>
        <v>46566</v>
      </c>
      <c r="I36" s="35" t="s">
        <v>24</v>
      </c>
      <c r="J36" s="33" t="s">
        <v>25</v>
      </c>
      <c r="K36" s="30" t="s">
        <v>93</v>
      </c>
    </row>
    <row r="37" spans="1:11">
      <c r="A37" s="29" t="s">
        <v>94</v>
      </c>
      <c r="B37" s="38" t="s">
        <v>95</v>
      </c>
      <c r="C37" s="31" t="s">
        <v>96</v>
      </c>
      <c r="D37" s="32" t="s">
        <v>54</v>
      </c>
      <c r="E37" s="33">
        <v>12</v>
      </c>
      <c r="F37" s="33">
        <v>12</v>
      </c>
      <c r="G37" s="34">
        <f t="shared" si="0"/>
        <v>46628</v>
      </c>
      <c r="H37" s="34">
        <f t="shared" si="1"/>
        <v>46658</v>
      </c>
      <c r="I37" s="35" t="s">
        <v>97</v>
      </c>
      <c r="J37" s="33" t="s">
        <v>25</v>
      </c>
      <c r="K37" s="30" t="s">
        <v>98</v>
      </c>
    </row>
    <row r="38" spans="1:11">
      <c r="A38" s="29" t="s">
        <v>99</v>
      </c>
      <c r="B38" s="38" t="s">
        <v>95</v>
      </c>
      <c r="C38" s="30" t="s">
        <v>100</v>
      </c>
      <c r="D38" s="29" t="s">
        <v>12</v>
      </c>
      <c r="E38" s="33">
        <v>9</v>
      </c>
      <c r="F38" s="33">
        <v>18</v>
      </c>
      <c r="G38" s="34">
        <f t="shared" si="0"/>
        <v>46536</v>
      </c>
      <c r="H38" s="34">
        <f t="shared" si="1"/>
        <v>46840</v>
      </c>
      <c r="I38" s="35" t="s">
        <v>24</v>
      </c>
      <c r="J38" s="33" t="s">
        <v>25</v>
      </c>
      <c r="K38" s="30"/>
    </row>
    <row r="39" spans="1:11">
      <c r="A39" s="29" t="s">
        <v>101</v>
      </c>
      <c r="B39" s="38" t="s">
        <v>95</v>
      </c>
      <c r="C39" s="30" t="s">
        <v>102</v>
      </c>
      <c r="D39" s="29" t="s">
        <v>12</v>
      </c>
      <c r="E39" s="33">
        <v>10</v>
      </c>
      <c r="F39" s="33">
        <v>16</v>
      </c>
      <c r="G39" s="34">
        <f t="shared" si="0"/>
        <v>46567</v>
      </c>
      <c r="H39" s="34">
        <f t="shared" si="1"/>
        <v>46780</v>
      </c>
      <c r="I39" s="35" t="s">
        <v>40</v>
      </c>
      <c r="J39" s="33" t="s">
        <v>25</v>
      </c>
      <c r="K39" s="30" t="s">
        <v>103</v>
      </c>
    </row>
    <row r="40" spans="1:11">
      <c r="A40" s="29" t="s">
        <v>104</v>
      </c>
      <c r="B40" s="38" t="s">
        <v>95</v>
      </c>
      <c r="C40" s="30" t="s">
        <v>105</v>
      </c>
      <c r="D40" s="29" t="s">
        <v>12</v>
      </c>
      <c r="E40" s="33">
        <v>16</v>
      </c>
      <c r="F40" s="33">
        <v>24</v>
      </c>
      <c r="G40" s="34">
        <f t="shared" si="0"/>
        <v>46750</v>
      </c>
      <c r="H40" s="34">
        <f t="shared" si="1"/>
        <v>47024</v>
      </c>
      <c r="I40" s="35" t="s">
        <v>24</v>
      </c>
      <c r="J40" s="33" t="s">
        <v>25</v>
      </c>
      <c r="K40" s="30"/>
    </row>
    <row r="41" spans="1:11" ht="25.7">
      <c r="A41" s="29" t="s">
        <v>106</v>
      </c>
      <c r="B41" s="38" t="s">
        <v>95</v>
      </c>
      <c r="C41" s="30" t="s">
        <v>107</v>
      </c>
      <c r="D41" s="29" t="s">
        <v>12</v>
      </c>
      <c r="E41" s="33">
        <v>15</v>
      </c>
      <c r="F41" s="33">
        <v>20</v>
      </c>
      <c r="G41" s="34">
        <f t="shared" si="0"/>
        <v>46720</v>
      </c>
      <c r="H41" s="34">
        <f t="shared" si="1"/>
        <v>46901</v>
      </c>
      <c r="I41" s="35" t="s">
        <v>24</v>
      </c>
      <c r="J41" s="33" t="s">
        <v>25</v>
      </c>
      <c r="K41" s="30" t="s">
        <v>108</v>
      </c>
    </row>
    <row r="42" spans="1:11">
      <c r="A42" s="29" t="s">
        <v>109</v>
      </c>
      <c r="B42" s="38" t="s">
        <v>95</v>
      </c>
      <c r="C42" s="30" t="s">
        <v>110</v>
      </c>
      <c r="D42" s="29" t="s">
        <v>12</v>
      </c>
      <c r="E42" s="33">
        <v>18</v>
      </c>
      <c r="F42" s="33">
        <v>26</v>
      </c>
      <c r="G42" s="34">
        <f t="shared" si="0"/>
        <v>46812</v>
      </c>
      <c r="H42" s="34">
        <f t="shared" si="1"/>
        <v>47085</v>
      </c>
      <c r="I42" s="35" t="s">
        <v>40</v>
      </c>
      <c r="J42" s="33" t="s">
        <v>25</v>
      </c>
      <c r="K42" s="30"/>
    </row>
    <row r="43" spans="1:11">
      <c r="A43" s="29" t="s">
        <v>111</v>
      </c>
      <c r="B43" s="38" t="s">
        <v>95</v>
      </c>
      <c r="C43" s="31" t="s">
        <v>112</v>
      </c>
      <c r="D43" s="32" t="s">
        <v>54</v>
      </c>
      <c r="E43" s="33">
        <v>24</v>
      </c>
      <c r="F43" s="33">
        <v>24</v>
      </c>
      <c r="G43" s="34">
        <f t="shared" si="0"/>
        <v>46994</v>
      </c>
      <c r="H43" s="34">
        <f t="shared" si="1"/>
        <v>47024</v>
      </c>
      <c r="I43" s="35" t="s">
        <v>97</v>
      </c>
      <c r="J43" s="33" t="s">
        <v>25</v>
      </c>
      <c r="K43" s="30" t="s">
        <v>113</v>
      </c>
    </row>
    <row r="44" spans="1:11">
      <c r="A44" s="29" t="s">
        <v>114</v>
      </c>
      <c r="B44" s="38" t="s">
        <v>115</v>
      </c>
      <c r="C44" s="30" t="s">
        <v>116</v>
      </c>
      <c r="D44" s="29" t="s">
        <v>12</v>
      </c>
      <c r="E44" s="33">
        <v>18</v>
      </c>
      <c r="F44" s="33">
        <v>19</v>
      </c>
      <c r="G44" s="34">
        <f t="shared" si="0"/>
        <v>46812</v>
      </c>
      <c r="H44" s="34">
        <f t="shared" si="1"/>
        <v>46871</v>
      </c>
      <c r="I44" s="35" t="s">
        <v>40</v>
      </c>
      <c r="J44" s="33" t="s">
        <v>25</v>
      </c>
      <c r="K44" s="30"/>
    </row>
    <row r="45" spans="1:11">
      <c r="A45" s="29" t="s">
        <v>117</v>
      </c>
      <c r="B45" s="38" t="s">
        <v>115</v>
      </c>
      <c r="C45" s="30" t="s">
        <v>118</v>
      </c>
      <c r="D45" s="29" t="s">
        <v>12</v>
      </c>
      <c r="E45" s="33">
        <v>19</v>
      </c>
      <c r="F45" s="33">
        <v>24</v>
      </c>
      <c r="G45" s="34">
        <f t="shared" si="0"/>
        <v>46841</v>
      </c>
      <c r="H45" s="34">
        <f t="shared" si="1"/>
        <v>47024</v>
      </c>
      <c r="I45" s="35" t="s">
        <v>24</v>
      </c>
      <c r="J45" s="33" t="s">
        <v>25</v>
      </c>
      <c r="K45" s="30"/>
    </row>
    <row r="46" spans="1:11">
      <c r="A46" s="29" t="s">
        <v>119</v>
      </c>
      <c r="B46" s="38" t="s">
        <v>115</v>
      </c>
      <c r="C46" s="30" t="s">
        <v>120</v>
      </c>
      <c r="D46" s="29" t="s">
        <v>12</v>
      </c>
      <c r="E46" s="33">
        <v>24</v>
      </c>
      <c r="F46" s="33">
        <v>30</v>
      </c>
      <c r="G46" s="34">
        <f t="shared" si="0"/>
        <v>46994</v>
      </c>
      <c r="H46" s="34">
        <f t="shared" si="1"/>
        <v>47205</v>
      </c>
      <c r="I46" s="35" t="s">
        <v>24</v>
      </c>
      <c r="J46" s="33" t="s">
        <v>25</v>
      </c>
      <c r="K46" s="30"/>
    </row>
    <row r="47" spans="1:11">
      <c r="A47" s="29" t="s">
        <v>121</v>
      </c>
      <c r="B47" s="38" t="s">
        <v>115</v>
      </c>
      <c r="C47" s="30" t="s">
        <v>122</v>
      </c>
      <c r="D47" s="29" t="s">
        <v>12</v>
      </c>
      <c r="E47" s="33">
        <v>28</v>
      </c>
      <c r="F47" s="33">
        <v>31</v>
      </c>
      <c r="G47" s="34">
        <f t="shared" si="0"/>
        <v>47116</v>
      </c>
      <c r="H47" s="34">
        <f t="shared" si="1"/>
        <v>47236</v>
      </c>
      <c r="I47" s="35" t="s">
        <v>24</v>
      </c>
      <c r="J47" s="33" t="s">
        <v>25</v>
      </c>
      <c r="K47" s="30"/>
    </row>
    <row r="48" spans="1:11">
      <c r="A48" s="29" t="s">
        <v>123</v>
      </c>
      <c r="B48" s="38" t="s">
        <v>115</v>
      </c>
      <c r="C48" s="31" t="s">
        <v>124</v>
      </c>
      <c r="D48" s="32" t="s">
        <v>54</v>
      </c>
      <c r="E48" s="33">
        <v>30</v>
      </c>
      <c r="F48" s="33">
        <v>30</v>
      </c>
      <c r="G48" s="34">
        <f t="shared" si="0"/>
        <v>47177</v>
      </c>
      <c r="H48" s="34">
        <f t="shared" si="1"/>
        <v>47205</v>
      </c>
      <c r="I48" s="35" t="s">
        <v>24</v>
      </c>
      <c r="J48" s="33" t="s">
        <v>25</v>
      </c>
      <c r="K48" s="30" t="s">
        <v>125</v>
      </c>
    </row>
    <row r="49" spans="1:11">
      <c r="A49" s="29" t="s">
        <v>126</v>
      </c>
      <c r="B49" s="38" t="s">
        <v>115</v>
      </c>
      <c r="C49" s="31" t="s">
        <v>127</v>
      </c>
      <c r="D49" s="32" t="s">
        <v>54</v>
      </c>
      <c r="E49" s="33">
        <v>31</v>
      </c>
      <c r="F49" s="33">
        <v>31</v>
      </c>
      <c r="G49" s="34">
        <f t="shared" si="0"/>
        <v>47206</v>
      </c>
      <c r="H49" s="34">
        <f t="shared" si="1"/>
        <v>47236</v>
      </c>
      <c r="I49" s="35" t="s">
        <v>24</v>
      </c>
      <c r="J49" s="33" t="s">
        <v>25</v>
      </c>
      <c r="K49" s="30" t="s">
        <v>128</v>
      </c>
    </row>
    <row r="50" spans="1:11">
      <c r="A50" s="29" t="s">
        <v>129</v>
      </c>
      <c r="B50" s="38" t="s">
        <v>115</v>
      </c>
      <c r="C50" s="30" t="s">
        <v>130</v>
      </c>
      <c r="D50" s="29" t="s">
        <v>12</v>
      </c>
      <c r="E50" s="33">
        <v>32</v>
      </c>
      <c r="F50" s="33">
        <v>34</v>
      </c>
      <c r="G50" s="34">
        <f t="shared" si="0"/>
        <v>47237</v>
      </c>
      <c r="H50" s="34">
        <f t="shared" si="1"/>
        <v>47327</v>
      </c>
      <c r="I50" s="35" t="s">
        <v>40</v>
      </c>
      <c r="J50" s="33" t="s">
        <v>25</v>
      </c>
      <c r="K50" s="30"/>
    </row>
    <row r="51" spans="1:11" ht="25.7">
      <c r="A51" s="29" t="s">
        <v>131</v>
      </c>
      <c r="B51" s="38" t="s">
        <v>115</v>
      </c>
      <c r="C51" s="31" t="s">
        <v>132</v>
      </c>
      <c r="D51" s="32" t="s">
        <v>54</v>
      </c>
      <c r="E51" s="33">
        <v>34</v>
      </c>
      <c r="F51" s="33">
        <v>34</v>
      </c>
      <c r="G51" s="34">
        <f t="shared" si="0"/>
        <v>47298</v>
      </c>
      <c r="H51" s="34">
        <f t="shared" si="1"/>
        <v>47327</v>
      </c>
      <c r="I51" s="35" t="s">
        <v>24</v>
      </c>
      <c r="J51" s="33" t="s">
        <v>25</v>
      </c>
      <c r="K51" s="30" t="s">
        <v>133</v>
      </c>
    </row>
    <row r="52" spans="1:11">
      <c r="A52" s="29" t="s">
        <v>134</v>
      </c>
      <c r="B52" s="38" t="s">
        <v>115</v>
      </c>
      <c r="C52" s="31" t="s">
        <v>135</v>
      </c>
      <c r="D52" s="32" t="s">
        <v>54</v>
      </c>
      <c r="E52" s="33">
        <v>34</v>
      </c>
      <c r="F52" s="33">
        <v>34</v>
      </c>
      <c r="G52" s="34">
        <f t="shared" si="0"/>
        <v>47298</v>
      </c>
      <c r="H52" s="34">
        <f t="shared" si="1"/>
        <v>47327</v>
      </c>
      <c r="I52" s="35" t="s">
        <v>40</v>
      </c>
      <c r="J52" s="33" t="s">
        <v>25</v>
      </c>
      <c r="K52" s="30" t="s">
        <v>133</v>
      </c>
    </row>
    <row r="53" spans="1:11">
      <c r="A53" s="29" t="s">
        <v>136</v>
      </c>
      <c r="B53" s="38" t="s">
        <v>115</v>
      </c>
      <c r="C53" s="30" t="s">
        <v>137</v>
      </c>
      <c r="D53" s="29" t="s">
        <v>12</v>
      </c>
      <c r="E53" s="33">
        <v>35</v>
      </c>
      <c r="F53" s="33">
        <v>35</v>
      </c>
      <c r="G53" s="34">
        <f t="shared" si="0"/>
        <v>47328</v>
      </c>
      <c r="H53" s="34">
        <f t="shared" si="1"/>
        <v>47358</v>
      </c>
      <c r="I53" s="35" t="s">
        <v>40</v>
      </c>
      <c r="J53" s="33" t="s">
        <v>25</v>
      </c>
      <c r="K53" s="30"/>
    </row>
    <row r="54" spans="1:11">
      <c r="A54" s="29" t="s">
        <v>138</v>
      </c>
      <c r="B54" s="38" t="s">
        <v>115</v>
      </c>
      <c r="C54" s="30" t="s">
        <v>139</v>
      </c>
      <c r="D54" s="29" t="s">
        <v>12</v>
      </c>
      <c r="E54" s="33">
        <v>35</v>
      </c>
      <c r="F54" s="33">
        <v>36</v>
      </c>
      <c r="G54" s="34">
        <f t="shared" si="0"/>
        <v>47328</v>
      </c>
      <c r="H54" s="34">
        <f t="shared" si="1"/>
        <v>47389</v>
      </c>
      <c r="I54" s="35" t="s">
        <v>24</v>
      </c>
      <c r="J54" s="33" t="s">
        <v>25</v>
      </c>
      <c r="K54" s="30"/>
    </row>
    <row r="55" spans="1:11">
      <c r="A55" s="29" t="s">
        <v>140</v>
      </c>
      <c r="B55" s="38" t="s">
        <v>115</v>
      </c>
      <c r="C55" s="31" t="s">
        <v>141</v>
      </c>
      <c r="D55" s="32" t="s">
        <v>54</v>
      </c>
      <c r="E55" s="33">
        <v>36</v>
      </c>
      <c r="F55" s="33">
        <v>36</v>
      </c>
      <c r="G55" s="34">
        <f t="shared" si="0"/>
        <v>47359</v>
      </c>
      <c r="H55" s="34">
        <f t="shared" si="1"/>
        <v>47389</v>
      </c>
      <c r="I55" s="35" t="s">
        <v>24</v>
      </c>
      <c r="J55" s="33" t="s">
        <v>25</v>
      </c>
      <c r="K55" s="30" t="s">
        <v>142</v>
      </c>
    </row>
    <row r="56" spans="1:11" ht="25.7">
      <c r="A56" s="29" t="s">
        <v>143</v>
      </c>
      <c r="B56" s="38" t="s">
        <v>144</v>
      </c>
      <c r="C56" s="30" t="s">
        <v>145</v>
      </c>
      <c r="D56" s="29" t="s">
        <v>12</v>
      </c>
      <c r="E56" s="33">
        <v>37</v>
      </c>
      <c r="F56" s="33">
        <v>42</v>
      </c>
      <c r="G56" s="34">
        <f t="shared" si="0"/>
        <v>47390</v>
      </c>
      <c r="H56" s="34">
        <f t="shared" si="1"/>
        <v>47570</v>
      </c>
      <c r="I56" s="35" t="s">
        <v>146</v>
      </c>
      <c r="J56" s="33" t="s">
        <v>25</v>
      </c>
      <c r="K56" s="30" t="s">
        <v>147</v>
      </c>
    </row>
    <row r="57" spans="1:11">
      <c r="A57" s="29" t="s">
        <v>148</v>
      </c>
      <c r="B57" s="38" t="s">
        <v>144</v>
      </c>
      <c r="C57" s="31" t="s">
        <v>149</v>
      </c>
      <c r="D57" s="32" t="s">
        <v>54</v>
      </c>
      <c r="E57" s="33">
        <v>42</v>
      </c>
      <c r="F57" s="33">
        <v>42</v>
      </c>
      <c r="G57" s="34">
        <f t="shared" si="0"/>
        <v>47542</v>
      </c>
      <c r="H57" s="34">
        <f t="shared" si="1"/>
        <v>47570</v>
      </c>
      <c r="I57" s="35" t="s">
        <v>150</v>
      </c>
      <c r="J57" s="33" t="s">
        <v>25</v>
      </c>
      <c r="K57" s="30" t="s">
        <v>151</v>
      </c>
    </row>
    <row r="58" spans="1:1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</sheetData>
  <conditionalFormatting sqref="A14:K57">
    <cfRule type="expression" dxfId="14" priority="1">
      <formula>$J14="Delayed"</formula>
    </cfRule>
    <cfRule type="expression" dxfId="13" priority="2">
      <formula>$J14="In Progress"</formula>
    </cfRule>
    <cfRule type="expression" dxfId="12" priority="3">
      <formula>$J14="Done"</formula>
    </cfRule>
    <cfRule type="expression" dxfId="11" priority="4">
      <formula>AND($H14&lt;&gt;"", $H14&lt;=EDATE(TODAY(),1), $J14="Delayed")</formula>
    </cfRule>
    <cfRule type="expression" dxfId="10" priority="5">
      <formula>AND($H14&lt;&gt;"", $H14&lt;=EDATE(TODAY(),1), $J14="In progress")</formula>
    </cfRule>
    <cfRule type="expression" dxfId="9" priority="6">
      <formula>AND($H14&lt;&gt;"", $H14&lt;=EDATE(TODAY(),1), $J14="Not started")</formula>
    </cfRule>
    <cfRule type="cellIs" dxfId="8" priority="8" operator="equal">
      <formula>"Done"</formula>
    </cfRule>
  </conditionalFormatting>
  <conditionalFormatting sqref="J14:J57">
    <cfRule type="cellIs" dxfId="7" priority="9" operator="equal">
      <formula>"In progress"</formula>
    </cfRule>
    <cfRule type="cellIs" dxfId="6" priority="10" operator="equal">
      <formula>"Delayed"</formula>
    </cfRule>
  </conditionalFormatting>
  <dataValidations count="1">
    <dataValidation type="list" sqref="J14:J57" xr:uid="{00000000-0002-0000-0000-000000000000}">
      <formula1>"Not started,In progress,Done,Delayed"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49"/>
  <sheetViews>
    <sheetView zoomScale="85" zoomScaleNormal="85" workbookViewId="0">
      <pane xSplit="6" ySplit="5" topLeftCell="G6" activePane="bottomRight" state="frozen"/>
      <selection pane="bottomRight"/>
      <selection pane="bottomLeft" activeCell="A7" sqref="A7"/>
      <selection pane="topRight" activeCell="G1" sqref="G1"/>
    </sheetView>
  </sheetViews>
  <sheetFormatPr defaultColWidth="8.7109375" defaultRowHeight="14.65"/>
  <cols>
    <col min="1" max="1" width="6" customWidth="1"/>
    <col min="2" max="2" width="28" customWidth="1"/>
    <col min="3" max="3" width="60" customWidth="1"/>
    <col min="4" max="4" width="11" customWidth="1"/>
    <col min="5" max="6" width="8" customWidth="1"/>
    <col min="7" max="48" width="3.5703125" customWidth="1"/>
  </cols>
  <sheetData>
    <row r="1" spans="1:48" ht="17.649999999999999">
      <c r="A1" s="6" t="s">
        <v>152</v>
      </c>
    </row>
    <row r="3" spans="1:48">
      <c r="G3" s="7" t="s">
        <v>153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9" t="s">
        <v>154</v>
      </c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1" t="s">
        <v>155</v>
      </c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3" t="s">
        <v>156</v>
      </c>
      <c r="AR3" s="14"/>
      <c r="AS3" s="14"/>
      <c r="AT3" s="14"/>
      <c r="AU3" s="14"/>
      <c r="AV3" s="14"/>
    </row>
    <row r="4" spans="1:48">
      <c r="A4" s="15" t="s">
        <v>10</v>
      </c>
      <c r="B4" s="15" t="s">
        <v>11</v>
      </c>
      <c r="C4" s="15" t="s">
        <v>12</v>
      </c>
      <c r="D4" s="15" t="s">
        <v>13</v>
      </c>
      <c r="E4" s="15" t="s">
        <v>14</v>
      </c>
      <c r="F4" s="15" t="s">
        <v>15</v>
      </c>
      <c r="G4" s="16">
        <v>1</v>
      </c>
      <c r="H4" s="16">
        <v>2</v>
      </c>
      <c r="I4" s="16">
        <v>3</v>
      </c>
      <c r="J4" s="16">
        <v>4</v>
      </c>
      <c r="K4" s="16">
        <v>5</v>
      </c>
      <c r="L4" s="16">
        <v>6</v>
      </c>
      <c r="M4" s="16">
        <v>7</v>
      </c>
      <c r="N4" s="16">
        <v>8</v>
      </c>
      <c r="O4" s="16">
        <v>9</v>
      </c>
      <c r="P4" s="16">
        <v>10</v>
      </c>
      <c r="Q4" s="16">
        <v>11</v>
      </c>
      <c r="R4" s="16">
        <v>12</v>
      </c>
      <c r="S4" s="16">
        <v>13</v>
      </c>
      <c r="T4" s="16">
        <v>14</v>
      </c>
      <c r="U4" s="16">
        <v>15</v>
      </c>
      <c r="V4" s="16">
        <v>16</v>
      </c>
      <c r="W4" s="16">
        <v>17</v>
      </c>
      <c r="X4" s="16">
        <v>18</v>
      </c>
      <c r="Y4" s="16">
        <v>19</v>
      </c>
      <c r="Z4" s="16">
        <v>20</v>
      </c>
      <c r="AA4" s="16">
        <v>21</v>
      </c>
      <c r="AB4" s="16">
        <v>22</v>
      </c>
      <c r="AC4" s="16">
        <v>23</v>
      </c>
      <c r="AD4" s="16">
        <v>24</v>
      </c>
      <c r="AE4" s="16">
        <v>25</v>
      </c>
      <c r="AF4" s="16">
        <v>26</v>
      </c>
      <c r="AG4" s="16">
        <v>27</v>
      </c>
      <c r="AH4" s="16">
        <v>28</v>
      </c>
      <c r="AI4" s="16">
        <v>29</v>
      </c>
      <c r="AJ4" s="16">
        <v>30</v>
      </c>
      <c r="AK4" s="16">
        <v>31</v>
      </c>
      <c r="AL4" s="16">
        <v>32</v>
      </c>
      <c r="AM4" s="16">
        <v>33</v>
      </c>
      <c r="AN4" s="16">
        <v>34</v>
      </c>
      <c r="AO4" s="16">
        <v>35</v>
      </c>
      <c r="AP4" s="16">
        <v>36</v>
      </c>
      <c r="AQ4" s="16">
        <v>37</v>
      </c>
      <c r="AR4" s="16">
        <v>38</v>
      </c>
      <c r="AS4" s="16">
        <v>39</v>
      </c>
      <c r="AT4" s="16">
        <v>40</v>
      </c>
      <c r="AU4" s="16">
        <v>41</v>
      </c>
      <c r="AV4" s="16">
        <v>42</v>
      </c>
    </row>
    <row r="5" spans="1:48" ht="42" customHeight="1">
      <c r="A5" s="17"/>
      <c r="B5" s="17"/>
      <c r="C5" s="17"/>
      <c r="D5" s="17"/>
      <c r="E5" s="17"/>
      <c r="F5" s="17"/>
      <c r="G5" s="18" t="str">
        <f>TEXT(EDATE(Timeline!$D$3,G$4-1),"mmm yy")</f>
        <v>Sep 26</v>
      </c>
      <c r="H5" s="18" t="str">
        <f>TEXT(EDATE(Timeline!$D$3,H$4-1),"mmm yy")</f>
        <v>Oct 26</v>
      </c>
      <c r="I5" s="18" t="str">
        <f>TEXT(EDATE(Timeline!$D$3,I$4-1),"mmm yy")</f>
        <v>Nov 26</v>
      </c>
      <c r="J5" s="18" t="str">
        <f>TEXT(EDATE(Timeline!$D$3,J$4-1),"mmm yy")</f>
        <v>Dec 26</v>
      </c>
      <c r="K5" s="18" t="str">
        <f>TEXT(EDATE(Timeline!$D$3,K$4-1),"mmm yy")</f>
        <v>Jan 27</v>
      </c>
      <c r="L5" s="18" t="str">
        <f>TEXT(EDATE(Timeline!$D$3,L$4-1),"mmm yy")</f>
        <v>Feb 27</v>
      </c>
      <c r="M5" s="18" t="str">
        <f>TEXT(EDATE(Timeline!$D$3,M$4-1),"mmm yy")</f>
        <v>Mar 27</v>
      </c>
      <c r="N5" s="18" t="str">
        <f>TEXT(EDATE(Timeline!$D$3,N$4-1),"mmm yy")</f>
        <v>Apr 27</v>
      </c>
      <c r="O5" s="18" t="str">
        <f>TEXT(EDATE(Timeline!$D$3,O$4-1),"mmm yy")</f>
        <v>May 27</v>
      </c>
      <c r="P5" s="18" t="str">
        <f>TEXT(EDATE(Timeline!$D$3,P$4-1),"mmm yy")</f>
        <v>Jun 27</v>
      </c>
      <c r="Q5" s="18" t="str">
        <f>TEXT(EDATE(Timeline!$D$3,Q$4-1),"mmm yy")</f>
        <v>Jul 27</v>
      </c>
      <c r="R5" s="18" t="str">
        <f>TEXT(EDATE(Timeline!$D$3,R$4-1),"mmm yy")</f>
        <v>Aug 27</v>
      </c>
      <c r="S5" s="18" t="str">
        <f>TEXT(EDATE(Timeline!$D$3,S$4-1),"mmm yy")</f>
        <v>Sep 27</v>
      </c>
      <c r="T5" s="18" t="str">
        <f>TEXT(EDATE(Timeline!$D$3,T$4-1),"mmm yy")</f>
        <v>Oct 27</v>
      </c>
      <c r="U5" s="18" t="str">
        <f>TEXT(EDATE(Timeline!$D$3,U$4-1),"mmm yy")</f>
        <v>Nov 27</v>
      </c>
      <c r="V5" s="18" t="str">
        <f>TEXT(EDATE(Timeline!$D$3,V$4-1),"mmm yy")</f>
        <v>Dec 27</v>
      </c>
      <c r="W5" s="18" t="str">
        <f>TEXT(EDATE(Timeline!$D$3,W$4-1),"mmm yy")</f>
        <v>Jan 28</v>
      </c>
      <c r="X5" s="18" t="str">
        <f>TEXT(EDATE(Timeline!$D$3,X$4-1),"mmm yy")</f>
        <v>Feb 28</v>
      </c>
      <c r="Y5" s="18" t="str">
        <f>TEXT(EDATE(Timeline!$D$3,Y$4-1),"mmm yy")</f>
        <v>Mar 28</v>
      </c>
      <c r="Z5" s="18" t="str">
        <f>TEXT(EDATE(Timeline!$D$3,Z$4-1),"mmm yy")</f>
        <v>Apr 28</v>
      </c>
      <c r="AA5" s="18" t="str">
        <f>TEXT(EDATE(Timeline!$D$3,AA$4-1),"mmm yy")</f>
        <v>May 28</v>
      </c>
      <c r="AB5" s="18" t="str">
        <f>TEXT(EDATE(Timeline!$D$3,AB$4-1),"mmm yy")</f>
        <v>Jun 28</v>
      </c>
      <c r="AC5" s="18" t="str">
        <f>TEXT(EDATE(Timeline!$D$3,AC$4-1),"mmm yy")</f>
        <v>Jul 28</v>
      </c>
      <c r="AD5" s="18" t="str">
        <f>TEXT(EDATE(Timeline!$D$3,AD$4-1),"mmm yy")</f>
        <v>Aug 28</v>
      </c>
      <c r="AE5" s="18" t="str">
        <f>TEXT(EDATE(Timeline!$D$3,AE$4-1),"mmm yy")</f>
        <v>Sep 28</v>
      </c>
      <c r="AF5" s="18" t="str">
        <f>TEXT(EDATE(Timeline!$D$3,AF$4-1),"mmm yy")</f>
        <v>Oct 28</v>
      </c>
      <c r="AG5" s="18" t="str">
        <f>TEXT(EDATE(Timeline!$D$3,AG$4-1),"mmm yy")</f>
        <v>Nov 28</v>
      </c>
      <c r="AH5" s="18" t="str">
        <f>TEXT(EDATE(Timeline!$D$3,AH$4-1),"mmm yy")</f>
        <v>Dec 28</v>
      </c>
      <c r="AI5" s="18" t="str">
        <f>TEXT(EDATE(Timeline!$D$3,AI$4-1),"mmm yy")</f>
        <v>Jan 29</v>
      </c>
      <c r="AJ5" s="18" t="str">
        <f>TEXT(EDATE(Timeline!$D$3,AJ$4-1),"mmm yy")</f>
        <v>Feb 29</v>
      </c>
      <c r="AK5" s="18" t="str">
        <f>TEXT(EDATE(Timeline!$D$3,AK$4-1),"mmm yy")</f>
        <v>Mar 29</v>
      </c>
      <c r="AL5" s="18" t="str">
        <f>TEXT(EDATE(Timeline!$D$3,AL$4-1),"mmm yy")</f>
        <v>Apr 29</v>
      </c>
      <c r="AM5" s="18" t="str">
        <f>TEXT(EDATE(Timeline!$D$3,AM$4-1),"mmm yy")</f>
        <v>May 29</v>
      </c>
      <c r="AN5" s="18" t="str">
        <f>TEXT(EDATE(Timeline!$D$3,AN$4-1),"mmm yy")</f>
        <v>Jun 29</v>
      </c>
      <c r="AO5" s="18" t="str">
        <f>TEXT(EDATE(Timeline!$D$3,AO$4-1),"mmm yy")</f>
        <v>Jul 29</v>
      </c>
      <c r="AP5" s="18" t="str">
        <f>TEXT(EDATE(Timeline!$D$3,AP$4-1),"mmm yy")</f>
        <v>Aug 29</v>
      </c>
      <c r="AQ5" s="18" t="str">
        <f>TEXT(EDATE(Timeline!$D$3,AQ$4-1),"mmm yy")</f>
        <v>Sep 29</v>
      </c>
      <c r="AR5" s="18" t="str">
        <f>TEXT(EDATE(Timeline!$D$3,AR$4-1),"mmm yy")</f>
        <v>Oct 29</v>
      </c>
      <c r="AS5" s="18" t="str">
        <f>TEXT(EDATE(Timeline!$D$3,AS$4-1),"mmm yy")</f>
        <v>Nov 29</v>
      </c>
      <c r="AT5" s="18" t="str">
        <f>TEXT(EDATE(Timeline!$D$3,AT$4-1),"mmm yy")</f>
        <v>Dec 29</v>
      </c>
      <c r="AU5" s="18" t="str">
        <f>TEXT(EDATE(Timeline!$D$3,AU$4-1),"mmm yy")</f>
        <v>Jan 30</v>
      </c>
      <c r="AV5" s="18" t="str">
        <f>TEXT(EDATE(Timeline!$D$3,AV$4-1),"mmm yy")</f>
        <v>Feb 30</v>
      </c>
    </row>
    <row r="6" spans="1:48">
      <c r="A6" s="19" t="str">
        <f>Timeline!A14</f>
        <v>T01</v>
      </c>
      <c r="B6" s="20" t="str">
        <f>Timeline!B14</f>
        <v>0 Onboarding (M1-3)</v>
      </c>
      <c r="C6" s="20" t="str">
        <f>Timeline!C14</f>
        <v>ANU mandatory: Rights, Relationships &amp; Respect in Research</v>
      </c>
      <c r="D6" s="19" t="str">
        <f>Timeline!D14</f>
        <v>Task</v>
      </c>
      <c r="E6" s="19">
        <f>Timeline!E14</f>
        <v>1</v>
      </c>
      <c r="F6" s="19">
        <f>Timeline!F14</f>
        <v>2</v>
      </c>
      <c r="G6" s="21">
        <f t="shared" ref="G6:P15" si="0">IF(AND(G$4&gt;=$E6,G$4&lt;=$F6),1,"")</f>
        <v>1</v>
      </c>
      <c r="H6" s="21">
        <f t="shared" si="0"/>
        <v>1</v>
      </c>
      <c r="I6" s="21" t="str">
        <f t="shared" si="0"/>
        <v/>
      </c>
      <c r="J6" s="21" t="str">
        <f t="shared" si="0"/>
        <v/>
      </c>
      <c r="K6" s="21" t="str">
        <f t="shared" si="0"/>
        <v/>
      </c>
      <c r="L6" s="21" t="str">
        <f t="shared" si="0"/>
        <v/>
      </c>
      <c r="M6" s="21" t="str">
        <f t="shared" si="0"/>
        <v/>
      </c>
      <c r="N6" s="21" t="str">
        <f t="shared" si="0"/>
        <v/>
      </c>
      <c r="O6" s="21" t="str">
        <f t="shared" si="0"/>
        <v/>
      </c>
      <c r="P6" s="21" t="str">
        <f t="shared" si="0"/>
        <v/>
      </c>
      <c r="Q6" s="21" t="str">
        <f t="shared" ref="Q6:Z15" si="1">IF(AND(Q$4&gt;=$E6,Q$4&lt;=$F6),1,"")</f>
        <v/>
      </c>
      <c r="R6" s="21" t="str">
        <f t="shared" si="1"/>
        <v/>
      </c>
      <c r="S6" s="21" t="str">
        <f t="shared" si="1"/>
        <v/>
      </c>
      <c r="T6" s="21" t="str">
        <f t="shared" si="1"/>
        <v/>
      </c>
      <c r="U6" s="21" t="str">
        <f t="shared" si="1"/>
        <v/>
      </c>
      <c r="V6" s="21" t="str">
        <f t="shared" si="1"/>
        <v/>
      </c>
      <c r="W6" s="21" t="str">
        <f t="shared" si="1"/>
        <v/>
      </c>
      <c r="X6" s="21" t="str">
        <f t="shared" si="1"/>
        <v/>
      </c>
      <c r="Y6" s="21" t="str">
        <f t="shared" si="1"/>
        <v/>
      </c>
      <c r="Z6" s="21" t="str">
        <f t="shared" si="1"/>
        <v/>
      </c>
      <c r="AA6" s="21" t="str">
        <f t="shared" ref="AA6:AJ15" si="2">IF(AND(AA$4&gt;=$E6,AA$4&lt;=$F6),1,"")</f>
        <v/>
      </c>
      <c r="AB6" s="21" t="str">
        <f t="shared" si="2"/>
        <v/>
      </c>
      <c r="AC6" s="21" t="str">
        <f t="shared" si="2"/>
        <v/>
      </c>
      <c r="AD6" s="21" t="str">
        <f t="shared" si="2"/>
        <v/>
      </c>
      <c r="AE6" s="21" t="str">
        <f t="shared" si="2"/>
        <v/>
      </c>
      <c r="AF6" s="21" t="str">
        <f t="shared" si="2"/>
        <v/>
      </c>
      <c r="AG6" s="21" t="str">
        <f t="shared" si="2"/>
        <v/>
      </c>
      <c r="AH6" s="21" t="str">
        <f t="shared" si="2"/>
        <v/>
      </c>
      <c r="AI6" s="21" t="str">
        <f t="shared" si="2"/>
        <v/>
      </c>
      <c r="AJ6" s="21" t="str">
        <f t="shared" si="2"/>
        <v/>
      </c>
      <c r="AK6" s="21" t="str">
        <f t="shared" ref="AK6:AV15" si="3">IF(AND(AK$4&gt;=$E6,AK$4&lt;=$F6),1,"")</f>
        <v/>
      </c>
      <c r="AL6" s="21" t="str">
        <f t="shared" si="3"/>
        <v/>
      </c>
      <c r="AM6" s="21" t="str">
        <f t="shared" si="3"/>
        <v/>
      </c>
      <c r="AN6" s="21" t="str">
        <f t="shared" si="3"/>
        <v/>
      </c>
      <c r="AO6" s="21" t="str">
        <f t="shared" si="3"/>
        <v/>
      </c>
      <c r="AP6" s="21" t="str">
        <f t="shared" si="3"/>
        <v/>
      </c>
      <c r="AQ6" s="21" t="str">
        <f t="shared" si="3"/>
        <v/>
      </c>
      <c r="AR6" s="21" t="str">
        <f t="shared" si="3"/>
        <v/>
      </c>
      <c r="AS6" s="21" t="str">
        <f t="shared" si="3"/>
        <v/>
      </c>
      <c r="AT6" s="21" t="str">
        <f t="shared" si="3"/>
        <v/>
      </c>
      <c r="AU6" s="21" t="str">
        <f t="shared" si="3"/>
        <v/>
      </c>
      <c r="AV6" s="21" t="str">
        <f t="shared" si="3"/>
        <v/>
      </c>
    </row>
    <row r="7" spans="1:48">
      <c r="A7" s="19" t="str">
        <f>Timeline!A15</f>
        <v>T02</v>
      </c>
      <c r="B7" s="20" t="str">
        <f>Timeline!B15</f>
        <v>0 Onboarding (M1-3)</v>
      </c>
      <c r="C7" s="20" t="str">
        <f>Timeline!C15</f>
        <v>ANU mandatory: CORE Cultural Learning</v>
      </c>
      <c r="D7" s="19" t="str">
        <f>Timeline!D15</f>
        <v>Task</v>
      </c>
      <c r="E7" s="19">
        <f>Timeline!E15</f>
        <v>1</v>
      </c>
      <c r="F7" s="19">
        <f>Timeline!F15</f>
        <v>2</v>
      </c>
      <c r="G7" s="21">
        <f t="shared" si="0"/>
        <v>1</v>
      </c>
      <c r="H7" s="21">
        <f t="shared" si="0"/>
        <v>1</v>
      </c>
      <c r="I7" s="21" t="str">
        <f t="shared" si="0"/>
        <v/>
      </c>
      <c r="J7" s="21" t="str">
        <f t="shared" si="0"/>
        <v/>
      </c>
      <c r="K7" s="21" t="str">
        <f t="shared" si="0"/>
        <v/>
      </c>
      <c r="L7" s="21" t="str">
        <f t="shared" si="0"/>
        <v/>
      </c>
      <c r="M7" s="21" t="str">
        <f t="shared" si="0"/>
        <v/>
      </c>
      <c r="N7" s="21" t="str">
        <f t="shared" si="0"/>
        <v/>
      </c>
      <c r="O7" s="21" t="str">
        <f t="shared" si="0"/>
        <v/>
      </c>
      <c r="P7" s="21" t="str">
        <f t="shared" si="0"/>
        <v/>
      </c>
      <c r="Q7" s="21" t="str">
        <f t="shared" si="1"/>
        <v/>
      </c>
      <c r="R7" s="21" t="str">
        <f t="shared" si="1"/>
        <v/>
      </c>
      <c r="S7" s="21" t="str">
        <f t="shared" si="1"/>
        <v/>
      </c>
      <c r="T7" s="21" t="str">
        <f t="shared" si="1"/>
        <v/>
      </c>
      <c r="U7" s="21" t="str">
        <f t="shared" si="1"/>
        <v/>
      </c>
      <c r="V7" s="21" t="str">
        <f t="shared" si="1"/>
        <v/>
      </c>
      <c r="W7" s="21" t="str">
        <f t="shared" si="1"/>
        <v/>
      </c>
      <c r="X7" s="21" t="str">
        <f t="shared" si="1"/>
        <v/>
      </c>
      <c r="Y7" s="21" t="str">
        <f t="shared" si="1"/>
        <v/>
      </c>
      <c r="Z7" s="21" t="str">
        <f t="shared" si="1"/>
        <v/>
      </c>
      <c r="AA7" s="21" t="str">
        <f t="shared" si="2"/>
        <v/>
      </c>
      <c r="AB7" s="21" t="str">
        <f t="shared" si="2"/>
        <v/>
      </c>
      <c r="AC7" s="21" t="str">
        <f t="shared" si="2"/>
        <v/>
      </c>
      <c r="AD7" s="21" t="str">
        <f t="shared" si="2"/>
        <v/>
      </c>
      <c r="AE7" s="21" t="str">
        <f t="shared" si="2"/>
        <v/>
      </c>
      <c r="AF7" s="21" t="str">
        <f t="shared" si="2"/>
        <v/>
      </c>
      <c r="AG7" s="21" t="str">
        <f t="shared" si="2"/>
        <v/>
      </c>
      <c r="AH7" s="21" t="str">
        <f t="shared" si="2"/>
        <v/>
      </c>
      <c r="AI7" s="21" t="str">
        <f t="shared" si="2"/>
        <v/>
      </c>
      <c r="AJ7" s="21" t="str">
        <f t="shared" si="2"/>
        <v/>
      </c>
      <c r="AK7" s="21" t="str">
        <f t="shared" si="3"/>
        <v/>
      </c>
      <c r="AL7" s="21" t="str">
        <f t="shared" si="3"/>
        <v/>
      </c>
      <c r="AM7" s="21" t="str">
        <f t="shared" si="3"/>
        <v/>
      </c>
      <c r="AN7" s="21" t="str">
        <f t="shared" si="3"/>
        <v/>
      </c>
      <c r="AO7" s="21" t="str">
        <f t="shared" si="3"/>
        <v/>
      </c>
      <c r="AP7" s="21" t="str">
        <f t="shared" si="3"/>
        <v/>
      </c>
      <c r="AQ7" s="21" t="str">
        <f t="shared" si="3"/>
        <v/>
      </c>
      <c r="AR7" s="21" t="str">
        <f t="shared" si="3"/>
        <v/>
      </c>
      <c r="AS7" s="21" t="str">
        <f t="shared" si="3"/>
        <v/>
      </c>
      <c r="AT7" s="21" t="str">
        <f t="shared" si="3"/>
        <v/>
      </c>
      <c r="AU7" s="21" t="str">
        <f t="shared" si="3"/>
        <v/>
      </c>
      <c r="AV7" s="21" t="str">
        <f t="shared" si="3"/>
        <v/>
      </c>
    </row>
    <row r="8" spans="1:48">
      <c r="A8" s="19" t="str">
        <f>Timeline!A16</f>
        <v>T03</v>
      </c>
      <c r="B8" s="20" t="str">
        <f>Timeline!B16</f>
        <v>0 Onboarding (M1-3)</v>
      </c>
      <c r="C8" s="20" t="str">
        <f>Timeline!C16</f>
        <v>ANU mandatory: University Work Health &amp; Safety (WHS) induction</v>
      </c>
      <c r="D8" s="19" t="str">
        <f>Timeline!D16</f>
        <v>Task</v>
      </c>
      <c r="E8" s="19">
        <f>Timeline!E16</f>
        <v>1</v>
      </c>
      <c r="F8" s="19">
        <f>Timeline!F16</f>
        <v>2</v>
      </c>
      <c r="G8" s="21">
        <f t="shared" si="0"/>
        <v>1</v>
      </c>
      <c r="H8" s="21">
        <f t="shared" si="0"/>
        <v>1</v>
      </c>
      <c r="I8" s="21" t="str">
        <f t="shared" si="0"/>
        <v/>
      </c>
      <c r="J8" s="21" t="str">
        <f t="shared" si="0"/>
        <v/>
      </c>
      <c r="K8" s="21" t="str">
        <f t="shared" si="0"/>
        <v/>
      </c>
      <c r="L8" s="21" t="str">
        <f t="shared" si="0"/>
        <v/>
      </c>
      <c r="M8" s="21" t="str">
        <f t="shared" si="0"/>
        <v/>
      </c>
      <c r="N8" s="21" t="str">
        <f t="shared" si="0"/>
        <v/>
      </c>
      <c r="O8" s="21" t="str">
        <f t="shared" si="0"/>
        <v/>
      </c>
      <c r="P8" s="21" t="str">
        <f t="shared" si="0"/>
        <v/>
      </c>
      <c r="Q8" s="21" t="str">
        <f t="shared" si="1"/>
        <v/>
      </c>
      <c r="R8" s="21" t="str">
        <f t="shared" si="1"/>
        <v/>
      </c>
      <c r="S8" s="21" t="str">
        <f t="shared" si="1"/>
        <v/>
      </c>
      <c r="T8" s="21" t="str">
        <f t="shared" si="1"/>
        <v/>
      </c>
      <c r="U8" s="21" t="str">
        <f t="shared" si="1"/>
        <v/>
      </c>
      <c r="V8" s="21" t="str">
        <f t="shared" si="1"/>
        <v/>
      </c>
      <c r="W8" s="21" t="str">
        <f t="shared" si="1"/>
        <v/>
      </c>
      <c r="X8" s="21" t="str">
        <f t="shared" si="1"/>
        <v/>
      </c>
      <c r="Y8" s="21" t="str">
        <f t="shared" si="1"/>
        <v/>
      </c>
      <c r="Z8" s="21" t="str">
        <f t="shared" si="1"/>
        <v/>
      </c>
      <c r="AA8" s="21" t="str">
        <f t="shared" si="2"/>
        <v/>
      </c>
      <c r="AB8" s="21" t="str">
        <f t="shared" si="2"/>
        <v/>
      </c>
      <c r="AC8" s="21" t="str">
        <f t="shared" si="2"/>
        <v/>
      </c>
      <c r="AD8" s="21" t="str">
        <f t="shared" si="2"/>
        <v/>
      </c>
      <c r="AE8" s="21" t="str">
        <f t="shared" si="2"/>
        <v/>
      </c>
      <c r="AF8" s="21" t="str">
        <f t="shared" si="2"/>
        <v/>
      </c>
      <c r="AG8" s="21" t="str">
        <f t="shared" si="2"/>
        <v/>
      </c>
      <c r="AH8" s="21" t="str">
        <f t="shared" si="2"/>
        <v/>
      </c>
      <c r="AI8" s="21" t="str">
        <f t="shared" si="2"/>
        <v/>
      </c>
      <c r="AJ8" s="21" t="str">
        <f t="shared" si="2"/>
        <v/>
      </c>
      <c r="AK8" s="21" t="str">
        <f t="shared" si="3"/>
        <v/>
      </c>
      <c r="AL8" s="21" t="str">
        <f t="shared" si="3"/>
        <v/>
      </c>
      <c r="AM8" s="21" t="str">
        <f t="shared" si="3"/>
        <v/>
      </c>
      <c r="AN8" s="21" t="str">
        <f t="shared" si="3"/>
        <v/>
      </c>
      <c r="AO8" s="21" t="str">
        <f t="shared" si="3"/>
        <v/>
      </c>
      <c r="AP8" s="21" t="str">
        <f t="shared" si="3"/>
        <v/>
      </c>
      <c r="AQ8" s="21" t="str">
        <f t="shared" si="3"/>
        <v/>
      </c>
      <c r="AR8" s="21" t="str">
        <f t="shared" si="3"/>
        <v/>
      </c>
      <c r="AS8" s="21" t="str">
        <f t="shared" si="3"/>
        <v/>
      </c>
      <c r="AT8" s="21" t="str">
        <f t="shared" si="3"/>
        <v/>
      </c>
      <c r="AU8" s="21" t="str">
        <f t="shared" si="3"/>
        <v/>
      </c>
      <c r="AV8" s="21" t="str">
        <f t="shared" si="3"/>
        <v/>
      </c>
    </row>
    <row r="9" spans="1:48">
      <c r="A9" s="19" t="str">
        <f>Timeline!A17</f>
        <v>T04</v>
      </c>
      <c r="B9" s="20" t="str">
        <f>Timeline!B17</f>
        <v>0 Onboarding (M1-3)</v>
      </c>
      <c r="C9" s="20" t="str">
        <f>Timeline!C17</f>
        <v>ANU mandatory: Code of Conduct</v>
      </c>
      <c r="D9" s="19" t="str">
        <f>Timeline!D17</f>
        <v>Task</v>
      </c>
      <c r="E9" s="19">
        <f>Timeline!E17</f>
        <v>1</v>
      </c>
      <c r="F9" s="19">
        <f>Timeline!F17</f>
        <v>2</v>
      </c>
      <c r="G9" s="21">
        <f t="shared" si="0"/>
        <v>1</v>
      </c>
      <c r="H9" s="21">
        <f t="shared" si="0"/>
        <v>1</v>
      </c>
      <c r="I9" s="21" t="str">
        <f t="shared" si="0"/>
        <v/>
      </c>
      <c r="J9" s="21" t="str">
        <f t="shared" si="0"/>
        <v/>
      </c>
      <c r="K9" s="21" t="str">
        <f t="shared" si="0"/>
        <v/>
      </c>
      <c r="L9" s="21" t="str">
        <f t="shared" si="0"/>
        <v/>
      </c>
      <c r="M9" s="21" t="str">
        <f t="shared" si="0"/>
        <v/>
      </c>
      <c r="N9" s="21" t="str">
        <f t="shared" si="0"/>
        <v/>
      </c>
      <c r="O9" s="21" t="str">
        <f t="shared" si="0"/>
        <v/>
      </c>
      <c r="P9" s="21" t="str">
        <f t="shared" si="0"/>
        <v/>
      </c>
      <c r="Q9" s="21" t="str">
        <f t="shared" si="1"/>
        <v/>
      </c>
      <c r="R9" s="21" t="str">
        <f t="shared" si="1"/>
        <v/>
      </c>
      <c r="S9" s="21" t="str">
        <f t="shared" si="1"/>
        <v/>
      </c>
      <c r="T9" s="21" t="str">
        <f t="shared" si="1"/>
        <v/>
      </c>
      <c r="U9" s="21" t="str">
        <f t="shared" si="1"/>
        <v/>
      </c>
      <c r="V9" s="21" t="str">
        <f t="shared" si="1"/>
        <v/>
      </c>
      <c r="W9" s="21" t="str">
        <f t="shared" si="1"/>
        <v/>
      </c>
      <c r="X9" s="21" t="str">
        <f t="shared" si="1"/>
        <v/>
      </c>
      <c r="Y9" s="21" t="str">
        <f t="shared" si="1"/>
        <v/>
      </c>
      <c r="Z9" s="21" t="str">
        <f t="shared" si="1"/>
        <v/>
      </c>
      <c r="AA9" s="21" t="str">
        <f t="shared" si="2"/>
        <v/>
      </c>
      <c r="AB9" s="21" t="str">
        <f t="shared" si="2"/>
        <v/>
      </c>
      <c r="AC9" s="21" t="str">
        <f t="shared" si="2"/>
        <v/>
      </c>
      <c r="AD9" s="21" t="str">
        <f t="shared" si="2"/>
        <v/>
      </c>
      <c r="AE9" s="21" t="str">
        <f t="shared" si="2"/>
        <v/>
      </c>
      <c r="AF9" s="21" t="str">
        <f t="shared" si="2"/>
        <v/>
      </c>
      <c r="AG9" s="21" t="str">
        <f t="shared" si="2"/>
        <v/>
      </c>
      <c r="AH9" s="21" t="str">
        <f t="shared" si="2"/>
        <v/>
      </c>
      <c r="AI9" s="21" t="str">
        <f t="shared" si="2"/>
        <v/>
      </c>
      <c r="AJ9" s="21" t="str">
        <f t="shared" si="2"/>
        <v/>
      </c>
      <c r="AK9" s="21" t="str">
        <f t="shared" si="3"/>
        <v/>
      </c>
      <c r="AL9" s="21" t="str">
        <f t="shared" si="3"/>
        <v/>
      </c>
      <c r="AM9" s="21" t="str">
        <f t="shared" si="3"/>
        <v/>
      </c>
      <c r="AN9" s="21" t="str">
        <f t="shared" si="3"/>
        <v/>
      </c>
      <c r="AO9" s="21" t="str">
        <f t="shared" si="3"/>
        <v/>
      </c>
      <c r="AP9" s="21" t="str">
        <f t="shared" si="3"/>
        <v/>
      </c>
      <c r="AQ9" s="21" t="str">
        <f t="shared" si="3"/>
        <v/>
      </c>
      <c r="AR9" s="21" t="str">
        <f t="shared" si="3"/>
        <v/>
      </c>
      <c r="AS9" s="21" t="str">
        <f t="shared" si="3"/>
        <v/>
      </c>
      <c r="AT9" s="21" t="str">
        <f t="shared" si="3"/>
        <v/>
      </c>
      <c r="AU9" s="21" t="str">
        <f t="shared" si="3"/>
        <v/>
      </c>
      <c r="AV9" s="21" t="str">
        <f t="shared" si="3"/>
        <v/>
      </c>
    </row>
    <row r="10" spans="1:48">
      <c r="A10" s="19" t="str">
        <f>Timeline!A18</f>
        <v>T05</v>
      </c>
      <c r="B10" s="20" t="str">
        <f>Timeline!B18</f>
        <v>0 Onboarding (M1-3)</v>
      </c>
      <c r="C10" s="20" t="str">
        <f>Timeline!C18</f>
        <v>Research integrity training</v>
      </c>
      <c r="D10" s="19" t="str">
        <f>Timeline!D18</f>
        <v>Task</v>
      </c>
      <c r="E10" s="19">
        <f>Timeline!E18</f>
        <v>1</v>
      </c>
      <c r="F10" s="19">
        <f>Timeline!F18</f>
        <v>3</v>
      </c>
      <c r="G10" s="21">
        <f t="shared" si="0"/>
        <v>1</v>
      </c>
      <c r="H10" s="21">
        <f t="shared" si="0"/>
        <v>1</v>
      </c>
      <c r="I10" s="21">
        <f t="shared" si="0"/>
        <v>1</v>
      </c>
      <c r="J10" s="21" t="str">
        <f t="shared" si="0"/>
        <v/>
      </c>
      <c r="K10" s="21" t="str">
        <f t="shared" si="0"/>
        <v/>
      </c>
      <c r="L10" s="21" t="str">
        <f t="shared" si="0"/>
        <v/>
      </c>
      <c r="M10" s="21" t="str">
        <f t="shared" si="0"/>
        <v/>
      </c>
      <c r="N10" s="21" t="str">
        <f t="shared" si="0"/>
        <v/>
      </c>
      <c r="O10" s="21" t="str">
        <f t="shared" si="0"/>
        <v/>
      </c>
      <c r="P10" s="21" t="str">
        <f t="shared" si="0"/>
        <v/>
      </c>
      <c r="Q10" s="21" t="str">
        <f t="shared" si="1"/>
        <v/>
      </c>
      <c r="R10" s="21" t="str">
        <f t="shared" si="1"/>
        <v/>
      </c>
      <c r="S10" s="21" t="str">
        <f t="shared" si="1"/>
        <v/>
      </c>
      <c r="T10" s="21" t="str">
        <f t="shared" si="1"/>
        <v/>
      </c>
      <c r="U10" s="21" t="str">
        <f t="shared" si="1"/>
        <v/>
      </c>
      <c r="V10" s="21" t="str">
        <f t="shared" si="1"/>
        <v/>
      </c>
      <c r="W10" s="21" t="str">
        <f t="shared" si="1"/>
        <v/>
      </c>
      <c r="X10" s="21" t="str">
        <f t="shared" si="1"/>
        <v/>
      </c>
      <c r="Y10" s="21" t="str">
        <f t="shared" si="1"/>
        <v/>
      </c>
      <c r="Z10" s="21" t="str">
        <f t="shared" si="1"/>
        <v/>
      </c>
      <c r="AA10" s="21" t="str">
        <f t="shared" si="2"/>
        <v/>
      </c>
      <c r="AB10" s="21" t="str">
        <f t="shared" si="2"/>
        <v/>
      </c>
      <c r="AC10" s="21" t="str">
        <f t="shared" si="2"/>
        <v/>
      </c>
      <c r="AD10" s="21" t="str">
        <f t="shared" si="2"/>
        <v/>
      </c>
      <c r="AE10" s="21" t="str">
        <f t="shared" si="2"/>
        <v/>
      </c>
      <c r="AF10" s="21" t="str">
        <f t="shared" si="2"/>
        <v/>
      </c>
      <c r="AG10" s="21" t="str">
        <f t="shared" si="2"/>
        <v/>
      </c>
      <c r="AH10" s="21" t="str">
        <f t="shared" si="2"/>
        <v/>
      </c>
      <c r="AI10" s="21" t="str">
        <f t="shared" si="2"/>
        <v/>
      </c>
      <c r="AJ10" s="21" t="str">
        <f t="shared" si="2"/>
        <v/>
      </c>
      <c r="AK10" s="21" t="str">
        <f t="shared" si="3"/>
        <v/>
      </c>
      <c r="AL10" s="21" t="str">
        <f t="shared" si="3"/>
        <v/>
      </c>
      <c r="AM10" s="21" t="str">
        <f t="shared" si="3"/>
        <v/>
      </c>
      <c r="AN10" s="21" t="str">
        <f t="shared" si="3"/>
        <v/>
      </c>
      <c r="AO10" s="21" t="str">
        <f t="shared" si="3"/>
        <v/>
      </c>
      <c r="AP10" s="21" t="str">
        <f t="shared" si="3"/>
        <v/>
      </c>
      <c r="AQ10" s="21" t="str">
        <f t="shared" si="3"/>
        <v/>
      </c>
      <c r="AR10" s="21" t="str">
        <f t="shared" si="3"/>
        <v/>
      </c>
      <c r="AS10" s="21" t="str">
        <f t="shared" si="3"/>
        <v/>
      </c>
      <c r="AT10" s="21" t="str">
        <f t="shared" si="3"/>
        <v/>
      </c>
      <c r="AU10" s="21" t="str">
        <f t="shared" si="3"/>
        <v/>
      </c>
      <c r="AV10" s="21" t="str">
        <f t="shared" si="3"/>
        <v/>
      </c>
    </row>
    <row r="11" spans="1:48">
      <c r="A11" s="19" t="str">
        <f>Timeline!A19</f>
        <v>T06</v>
      </c>
      <c r="B11" s="20" t="str">
        <f>Timeline!B19</f>
        <v>0 Onboarding (M1-3)</v>
      </c>
      <c r="C11" s="20" t="str">
        <f>Timeline!C19</f>
        <v>RSES induction + local WHS (whs.rses@anu.edu.au)</v>
      </c>
      <c r="D11" s="19" t="str">
        <f>Timeline!D19</f>
        <v>Task</v>
      </c>
      <c r="E11" s="19">
        <f>Timeline!E19</f>
        <v>1</v>
      </c>
      <c r="F11" s="19">
        <f>Timeline!F19</f>
        <v>2</v>
      </c>
      <c r="G11" s="21">
        <f t="shared" si="0"/>
        <v>1</v>
      </c>
      <c r="H11" s="21">
        <f t="shared" si="0"/>
        <v>1</v>
      </c>
      <c r="I11" s="21" t="str">
        <f t="shared" si="0"/>
        <v/>
      </c>
      <c r="J11" s="21" t="str">
        <f t="shared" si="0"/>
        <v/>
      </c>
      <c r="K11" s="21" t="str">
        <f t="shared" si="0"/>
        <v/>
      </c>
      <c r="L11" s="21" t="str">
        <f t="shared" si="0"/>
        <v/>
      </c>
      <c r="M11" s="21" t="str">
        <f t="shared" si="0"/>
        <v/>
      </c>
      <c r="N11" s="21" t="str">
        <f t="shared" si="0"/>
        <v/>
      </c>
      <c r="O11" s="21" t="str">
        <f t="shared" si="0"/>
        <v/>
      </c>
      <c r="P11" s="21" t="str">
        <f t="shared" si="0"/>
        <v/>
      </c>
      <c r="Q11" s="21" t="str">
        <f t="shared" si="1"/>
        <v/>
      </c>
      <c r="R11" s="21" t="str">
        <f t="shared" si="1"/>
        <v/>
      </c>
      <c r="S11" s="21" t="str">
        <f t="shared" si="1"/>
        <v/>
      </c>
      <c r="T11" s="21" t="str">
        <f t="shared" si="1"/>
        <v/>
      </c>
      <c r="U11" s="21" t="str">
        <f t="shared" si="1"/>
        <v/>
      </c>
      <c r="V11" s="21" t="str">
        <f t="shared" si="1"/>
        <v/>
      </c>
      <c r="W11" s="21" t="str">
        <f t="shared" si="1"/>
        <v/>
      </c>
      <c r="X11" s="21" t="str">
        <f t="shared" si="1"/>
        <v/>
      </c>
      <c r="Y11" s="21" t="str">
        <f t="shared" si="1"/>
        <v/>
      </c>
      <c r="Z11" s="21" t="str">
        <f t="shared" si="1"/>
        <v/>
      </c>
      <c r="AA11" s="21" t="str">
        <f t="shared" si="2"/>
        <v/>
      </c>
      <c r="AB11" s="21" t="str">
        <f t="shared" si="2"/>
        <v/>
      </c>
      <c r="AC11" s="21" t="str">
        <f t="shared" si="2"/>
        <v/>
      </c>
      <c r="AD11" s="21" t="str">
        <f t="shared" si="2"/>
        <v/>
      </c>
      <c r="AE11" s="21" t="str">
        <f t="shared" si="2"/>
        <v/>
      </c>
      <c r="AF11" s="21" t="str">
        <f t="shared" si="2"/>
        <v/>
      </c>
      <c r="AG11" s="21" t="str">
        <f t="shared" si="2"/>
        <v/>
      </c>
      <c r="AH11" s="21" t="str">
        <f t="shared" si="2"/>
        <v/>
      </c>
      <c r="AI11" s="21" t="str">
        <f t="shared" si="2"/>
        <v/>
      </c>
      <c r="AJ11" s="21" t="str">
        <f t="shared" si="2"/>
        <v/>
      </c>
      <c r="AK11" s="21" t="str">
        <f t="shared" si="3"/>
        <v/>
      </c>
      <c r="AL11" s="21" t="str">
        <f t="shared" si="3"/>
        <v/>
      </c>
      <c r="AM11" s="21" t="str">
        <f t="shared" si="3"/>
        <v/>
      </c>
      <c r="AN11" s="21" t="str">
        <f t="shared" si="3"/>
        <v/>
      </c>
      <c r="AO11" s="21" t="str">
        <f t="shared" si="3"/>
        <v/>
      </c>
      <c r="AP11" s="21" t="str">
        <f t="shared" si="3"/>
        <v/>
      </c>
      <c r="AQ11" s="21" t="str">
        <f t="shared" si="3"/>
        <v/>
      </c>
      <c r="AR11" s="21" t="str">
        <f t="shared" si="3"/>
        <v/>
      </c>
      <c r="AS11" s="21" t="str">
        <f t="shared" si="3"/>
        <v/>
      </c>
      <c r="AT11" s="21" t="str">
        <f t="shared" si="3"/>
        <v/>
      </c>
      <c r="AU11" s="21" t="str">
        <f t="shared" si="3"/>
        <v/>
      </c>
      <c r="AV11" s="21" t="str">
        <f t="shared" si="3"/>
        <v/>
      </c>
    </row>
    <row r="12" spans="1:48">
      <c r="A12" s="19" t="str">
        <f>Timeline!A20</f>
        <v>T07</v>
      </c>
      <c r="B12" s="20" t="str">
        <f>Timeline!B20</f>
        <v>0 Onboarding (M1-3)</v>
      </c>
      <c r="C12" s="20" t="str">
        <f>Timeline!C20</f>
        <v>Set up supervisory panel (Chair + advisors)</v>
      </c>
      <c r="D12" s="19" t="str">
        <f>Timeline!D20</f>
        <v>Task</v>
      </c>
      <c r="E12" s="19">
        <f>Timeline!E20</f>
        <v>1</v>
      </c>
      <c r="F12" s="19">
        <f>Timeline!F20</f>
        <v>2</v>
      </c>
      <c r="G12" s="21">
        <f t="shared" si="0"/>
        <v>1</v>
      </c>
      <c r="H12" s="21">
        <f t="shared" si="0"/>
        <v>1</v>
      </c>
      <c r="I12" s="21" t="str">
        <f t="shared" si="0"/>
        <v/>
      </c>
      <c r="J12" s="21" t="str">
        <f t="shared" si="0"/>
        <v/>
      </c>
      <c r="K12" s="21" t="str">
        <f t="shared" si="0"/>
        <v/>
      </c>
      <c r="L12" s="21" t="str">
        <f t="shared" si="0"/>
        <v/>
      </c>
      <c r="M12" s="21" t="str">
        <f t="shared" si="0"/>
        <v/>
      </c>
      <c r="N12" s="21" t="str">
        <f t="shared" si="0"/>
        <v/>
      </c>
      <c r="O12" s="21" t="str">
        <f t="shared" si="0"/>
        <v/>
      </c>
      <c r="P12" s="21" t="str">
        <f t="shared" si="0"/>
        <v/>
      </c>
      <c r="Q12" s="21" t="str">
        <f t="shared" si="1"/>
        <v/>
      </c>
      <c r="R12" s="21" t="str">
        <f t="shared" si="1"/>
        <v/>
      </c>
      <c r="S12" s="21" t="str">
        <f t="shared" si="1"/>
        <v/>
      </c>
      <c r="T12" s="21" t="str">
        <f t="shared" si="1"/>
        <v/>
      </c>
      <c r="U12" s="21" t="str">
        <f t="shared" si="1"/>
        <v/>
      </c>
      <c r="V12" s="21" t="str">
        <f t="shared" si="1"/>
        <v/>
      </c>
      <c r="W12" s="21" t="str">
        <f t="shared" si="1"/>
        <v/>
      </c>
      <c r="X12" s="21" t="str">
        <f t="shared" si="1"/>
        <v/>
      </c>
      <c r="Y12" s="21" t="str">
        <f t="shared" si="1"/>
        <v/>
      </c>
      <c r="Z12" s="21" t="str">
        <f t="shared" si="1"/>
        <v/>
      </c>
      <c r="AA12" s="21" t="str">
        <f t="shared" si="2"/>
        <v/>
      </c>
      <c r="AB12" s="21" t="str">
        <f t="shared" si="2"/>
        <v/>
      </c>
      <c r="AC12" s="21" t="str">
        <f t="shared" si="2"/>
        <v/>
      </c>
      <c r="AD12" s="21" t="str">
        <f t="shared" si="2"/>
        <v/>
      </c>
      <c r="AE12" s="21" t="str">
        <f t="shared" si="2"/>
        <v/>
      </c>
      <c r="AF12" s="21" t="str">
        <f t="shared" si="2"/>
        <v/>
      </c>
      <c r="AG12" s="21" t="str">
        <f t="shared" si="2"/>
        <v/>
      </c>
      <c r="AH12" s="21" t="str">
        <f t="shared" si="2"/>
        <v/>
      </c>
      <c r="AI12" s="21" t="str">
        <f t="shared" si="2"/>
        <v/>
      </c>
      <c r="AJ12" s="21" t="str">
        <f t="shared" si="2"/>
        <v/>
      </c>
      <c r="AK12" s="21" t="str">
        <f t="shared" si="3"/>
        <v/>
      </c>
      <c r="AL12" s="21" t="str">
        <f t="shared" si="3"/>
        <v/>
      </c>
      <c r="AM12" s="21" t="str">
        <f t="shared" si="3"/>
        <v/>
      </c>
      <c r="AN12" s="21" t="str">
        <f t="shared" si="3"/>
        <v/>
      </c>
      <c r="AO12" s="21" t="str">
        <f t="shared" si="3"/>
        <v/>
      </c>
      <c r="AP12" s="21" t="str">
        <f t="shared" si="3"/>
        <v/>
      </c>
      <c r="AQ12" s="21" t="str">
        <f t="shared" si="3"/>
        <v/>
      </c>
      <c r="AR12" s="21" t="str">
        <f t="shared" si="3"/>
        <v/>
      </c>
      <c r="AS12" s="21" t="str">
        <f t="shared" si="3"/>
        <v/>
      </c>
      <c r="AT12" s="21" t="str">
        <f t="shared" si="3"/>
        <v/>
      </c>
      <c r="AU12" s="21" t="str">
        <f t="shared" si="3"/>
        <v/>
      </c>
      <c r="AV12" s="21" t="str">
        <f t="shared" si="3"/>
        <v/>
      </c>
    </row>
    <row r="13" spans="1:48">
      <c r="A13" s="19" t="str">
        <f>Timeline!A21</f>
        <v>T08</v>
      </c>
      <c r="B13" s="20" t="str">
        <f>Timeline!B21</f>
        <v>0 Onboarding (M1-3)</v>
      </c>
      <c r="C13" s="20" t="str">
        <f>Timeline!C21</f>
        <v>Agree expectations with supervisor: feedback turnaround, hours (40 h/wk), WFH vs on-campus, etc</v>
      </c>
      <c r="D13" s="19" t="str">
        <f>Timeline!D21</f>
        <v>Task</v>
      </c>
      <c r="E13" s="19">
        <f>Timeline!E21</f>
        <v>1</v>
      </c>
      <c r="F13" s="19">
        <f>Timeline!F21</f>
        <v>1</v>
      </c>
      <c r="G13" s="21">
        <f t="shared" si="0"/>
        <v>1</v>
      </c>
      <c r="H13" s="21" t="str">
        <f t="shared" si="0"/>
        <v/>
      </c>
      <c r="I13" s="21" t="str">
        <f t="shared" si="0"/>
        <v/>
      </c>
      <c r="J13" s="21" t="str">
        <f t="shared" si="0"/>
        <v/>
      </c>
      <c r="K13" s="21" t="str">
        <f t="shared" si="0"/>
        <v/>
      </c>
      <c r="L13" s="21" t="str">
        <f t="shared" si="0"/>
        <v/>
      </c>
      <c r="M13" s="21" t="str">
        <f t="shared" si="0"/>
        <v/>
      </c>
      <c r="N13" s="21" t="str">
        <f t="shared" si="0"/>
        <v/>
      </c>
      <c r="O13" s="21" t="str">
        <f t="shared" si="0"/>
        <v/>
      </c>
      <c r="P13" s="21" t="str">
        <f t="shared" si="0"/>
        <v/>
      </c>
      <c r="Q13" s="21" t="str">
        <f t="shared" si="1"/>
        <v/>
      </c>
      <c r="R13" s="21" t="str">
        <f t="shared" si="1"/>
        <v/>
      </c>
      <c r="S13" s="21" t="str">
        <f t="shared" si="1"/>
        <v/>
      </c>
      <c r="T13" s="21" t="str">
        <f t="shared" si="1"/>
        <v/>
      </c>
      <c r="U13" s="21" t="str">
        <f t="shared" si="1"/>
        <v/>
      </c>
      <c r="V13" s="21" t="str">
        <f t="shared" si="1"/>
        <v/>
      </c>
      <c r="W13" s="21" t="str">
        <f t="shared" si="1"/>
        <v/>
      </c>
      <c r="X13" s="21" t="str">
        <f t="shared" si="1"/>
        <v/>
      </c>
      <c r="Y13" s="21" t="str">
        <f t="shared" si="1"/>
        <v/>
      </c>
      <c r="Z13" s="21" t="str">
        <f t="shared" si="1"/>
        <v/>
      </c>
      <c r="AA13" s="21" t="str">
        <f t="shared" si="2"/>
        <v/>
      </c>
      <c r="AB13" s="21" t="str">
        <f t="shared" si="2"/>
        <v/>
      </c>
      <c r="AC13" s="21" t="str">
        <f t="shared" si="2"/>
        <v/>
      </c>
      <c r="AD13" s="21" t="str">
        <f t="shared" si="2"/>
        <v/>
      </c>
      <c r="AE13" s="21" t="str">
        <f t="shared" si="2"/>
        <v/>
      </c>
      <c r="AF13" s="21" t="str">
        <f t="shared" si="2"/>
        <v/>
      </c>
      <c r="AG13" s="21" t="str">
        <f t="shared" si="2"/>
        <v/>
      </c>
      <c r="AH13" s="21" t="str">
        <f t="shared" si="2"/>
        <v/>
      </c>
      <c r="AI13" s="21" t="str">
        <f t="shared" si="2"/>
        <v/>
      </c>
      <c r="AJ13" s="21" t="str">
        <f t="shared" si="2"/>
        <v/>
      </c>
      <c r="AK13" s="21" t="str">
        <f t="shared" si="3"/>
        <v/>
      </c>
      <c r="AL13" s="21" t="str">
        <f t="shared" si="3"/>
        <v/>
      </c>
      <c r="AM13" s="21" t="str">
        <f t="shared" si="3"/>
        <v/>
      </c>
      <c r="AN13" s="21" t="str">
        <f t="shared" si="3"/>
        <v/>
      </c>
      <c r="AO13" s="21" t="str">
        <f t="shared" si="3"/>
        <v/>
      </c>
      <c r="AP13" s="21" t="str">
        <f t="shared" si="3"/>
        <v/>
      </c>
      <c r="AQ13" s="21" t="str">
        <f t="shared" si="3"/>
        <v/>
      </c>
      <c r="AR13" s="21" t="str">
        <f t="shared" si="3"/>
        <v/>
      </c>
      <c r="AS13" s="21" t="str">
        <f t="shared" si="3"/>
        <v/>
      </c>
      <c r="AT13" s="21" t="str">
        <f t="shared" si="3"/>
        <v/>
      </c>
      <c r="AU13" s="21" t="str">
        <f t="shared" si="3"/>
        <v/>
      </c>
      <c r="AV13" s="21" t="str">
        <f t="shared" si="3"/>
        <v/>
      </c>
    </row>
    <row r="14" spans="1:48">
      <c r="A14" s="19" t="str">
        <f>Timeline!A22</f>
        <v>T09</v>
      </c>
      <c r="B14" s="20" t="str">
        <f>Timeline!B22</f>
        <v>0 Onboarding (M1-3)</v>
      </c>
      <c r="C14" s="20" t="str">
        <f>Timeline!C22</f>
        <v>Order computer (up to $2k; supervisor emails HDR Admin if &gt; $2k)</v>
      </c>
      <c r="D14" s="19" t="str">
        <f>Timeline!D22</f>
        <v>Task</v>
      </c>
      <c r="E14" s="19">
        <f>Timeline!E22</f>
        <v>1</v>
      </c>
      <c r="F14" s="19">
        <f>Timeline!F22</f>
        <v>2</v>
      </c>
      <c r="G14" s="21">
        <f t="shared" si="0"/>
        <v>1</v>
      </c>
      <c r="H14" s="21">
        <f t="shared" si="0"/>
        <v>1</v>
      </c>
      <c r="I14" s="21" t="str">
        <f t="shared" si="0"/>
        <v/>
      </c>
      <c r="J14" s="21" t="str">
        <f t="shared" si="0"/>
        <v/>
      </c>
      <c r="K14" s="21" t="str">
        <f t="shared" si="0"/>
        <v/>
      </c>
      <c r="L14" s="21" t="str">
        <f t="shared" si="0"/>
        <v/>
      </c>
      <c r="M14" s="21" t="str">
        <f t="shared" si="0"/>
        <v/>
      </c>
      <c r="N14" s="21" t="str">
        <f t="shared" si="0"/>
        <v/>
      </c>
      <c r="O14" s="21" t="str">
        <f t="shared" si="0"/>
        <v/>
      </c>
      <c r="P14" s="21" t="str">
        <f t="shared" si="0"/>
        <v/>
      </c>
      <c r="Q14" s="21" t="str">
        <f t="shared" si="1"/>
        <v/>
      </c>
      <c r="R14" s="21" t="str">
        <f t="shared" si="1"/>
        <v/>
      </c>
      <c r="S14" s="21" t="str">
        <f t="shared" si="1"/>
        <v/>
      </c>
      <c r="T14" s="21" t="str">
        <f t="shared" si="1"/>
        <v/>
      </c>
      <c r="U14" s="21" t="str">
        <f t="shared" si="1"/>
        <v/>
      </c>
      <c r="V14" s="21" t="str">
        <f t="shared" si="1"/>
        <v/>
      </c>
      <c r="W14" s="21" t="str">
        <f t="shared" si="1"/>
        <v/>
      </c>
      <c r="X14" s="21" t="str">
        <f t="shared" si="1"/>
        <v/>
      </c>
      <c r="Y14" s="21" t="str">
        <f t="shared" si="1"/>
        <v/>
      </c>
      <c r="Z14" s="21" t="str">
        <f t="shared" si="1"/>
        <v/>
      </c>
      <c r="AA14" s="21" t="str">
        <f t="shared" si="2"/>
        <v/>
      </c>
      <c r="AB14" s="21" t="str">
        <f t="shared" si="2"/>
        <v/>
      </c>
      <c r="AC14" s="21" t="str">
        <f t="shared" si="2"/>
        <v/>
      </c>
      <c r="AD14" s="21" t="str">
        <f t="shared" si="2"/>
        <v/>
      </c>
      <c r="AE14" s="21" t="str">
        <f t="shared" si="2"/>
        <v/>
      </c>
      <c r="AF14" s="21" t="str">
        <f t="shared" si="2"/>
        <v/>
      </c>
      <c r="AG14" s="21" t="str">
        <f t="shared" si="2"/>
        <v/>
      </c>
      <c r="AH14" s="21" t="str">
        <f t="shared" si="2"/>
        <v/>
      </c>
      <c r="AI14" s="21" t="str">
        <f t="shared" si="2"/>
        <v/>
      </c>
      <c r="AJ14" s="21" t="str">
        <f t="shared" si="2"/>
        <v/>
      </c>
      <c r="AK14" s="21" t="str">
        <f t="shared" si="3"/>
        <v/>
      </c>
      <c r="AL14" s="21" t="str">
        <f t="shared" si="3"/>
        <v/>
      </c>
      <c r="AM14" s="21" t="str">
        <f t="shared" si="3"/>
        <v/>
      </c>
      <c r="AN14" s="21" t="str">
        <f t="shared" si="3"/>
        <v/>
      </c>
      <c r="AO14" s="21" t="str">
        <f t="shared" si="3"/>
        <v/>
      </c>
      <c r="AP14" s="21" t="str">
        <f t="shared" si="3"/>
        <v/>
      </c>
      <c r="AQ14" s="21" t="str">
        <f t="shared" si="3"/>
        <v/>
      </c>
      <c r="AR14" s="21" t="str">
        <f t="shared" si="3"/>
        <v/>
      </c>
      <c r="AS14" s="21" t="str">
        <f t="shared" si="3"/>
        <v/>
      </c>
      <c r="AT14" s="21" t="str">
        <f t="shared" si="3"/>
        <v/>
      </c>
      <c r="AU14" s="21" t="str">
        <f t="shared" si="3"/>
        <v/>
      </c>
      <c r="AV14" s="21" t="str">
        <f t="shared" si="3"/>
        <v/>
      </c>
    </row>
    <row r="15" spans="1:48">
      <c r="A15" s="19" t="str">
        <f>Timeline!A23</f>
        <v>T10</v>
      </c>
      <c r="B15" s="20" t="str">
        <f>Timeline!B23</f>
        <v>0 Onboarding (M1-3)</v>
      </c>
      <c r="C15" s="20" t="str">
        <f>Timeline!C23</f>
        <v>Check milestones in ANUHub (selfservice.sas.anu.edu.au) and eForms</v>
      </c>
      <c r="D15" s="19" t="str">
        <f>Timeline!D23</f>
        <v>Task</v>
      </c>
      <c r="E15" s="19">
        <f>Timeline!E23</f>
        <v>1</v>
      </c>
      <c r="F15" s="19">
        <f>Timeline!F23</f>
        <v>1</v>
      </c>
      <c r="G15" s="21">
        <f t="shared" si="0"/>
        <v>1</v>
      </c>
      <c r="H15" s="21" t="str">
        <f t="shared" si="0"/>
        <v/>
      </c>
      <c r="I15" s="21" t="str">
        <f t="shared" si="0"/>
        <v/>
      </c>
      <c r="J15" s="21" t="str">
        <f t="shared" si="0"/>
        <v/>
      </c>
      <c r="K15" s="21" t="str">
        <f t="shared" si="0"/>
        <v/>
      </c>
      <c r="L15" s="21" t="str">
        <f t="shared" si="0"/>
        <v/>
      </c>
      <c r="M15" s="21" t="str">
        <f t="shared" si="0"/>
        <v/>
      </c>
      <c r="N15" s="21" t="str">
        <f t="shared" si="0"/>
        <v/>
      </c>
      <c r="O15" s="21" t="str">
        <f t="shared" si="0"/>
        <v/>
      </c>
      <c r="P15" s="21" t="str">
        <f t="shared" si="0"/>
        <v/>
      </c>
      <c r="Q15" s="21" t="str">
        <f t="shared" si="1"/>
        <v/>
      </c>
      <c r="R15" s="21" t="str">
        <f t="shared" si="1"/>
        <v/>
      </c>
      <c r="S15" s="21" t="str">
        <f t="shared" si="1"/>
        <v/>
      </c>
      <c r="T15" s="21" t="str">
        <f t="shared" si="1"/>
        <v/>
      </c>
      <c r="U15" s="21" t="str">
        <f t="shared" si="1"/>
        <v/>
      </c>
      <c r="V15" s="21" t="str">
        <f t="shared" si="1"/>
        <v/>
      </c>
      <c r="W15" s="21" t="str">
        <f t="shared" si="1"/>
        <v/>
      </c>
      <c r="X15" s="21" t="str">
        <f t="shared" si="1"/>
        <v/>
      </c>
      <c r="Y15" s="21" t="str">
        <f t="shared" si="1"/>
        <v/>
      </c>
      <c r="Z15" s="21" t="str">
        <f t="shared" si="1"/>
        <v/>
      </c>
      <c r="AA15" s="21" t="str">
        <f t="shared" si="2"/>
        <v/>
      </c>
      <c r="AB15" s="21" t="str">
        <f t="shared" si="2"/>
        <v/>
      </c>
      <c r="AC15" s="21" t="str">
        <f t="shared" si="2"/>
        <v/>
      </c>
      <c r="AD15" s="21" t="str">
        <f t="shared" si="2"/>
        <v/>
      </c>
      <c r="AE15" s="21" t="str">
        <f t="shared" si="2"/>
        <v/>
      </c>
      <c r="AF15" s="21" t="str">
        <f t="shared" si="2"/>
        <v/>
      </c>
      <c r="AG15" s="21" t="str">
        <f t="shared" si="2"/>
        <v/>
      </c>
      <c r="AH15" s="21" t="str">
        <f t="shared" si="2"/>
        <v/>
      </c>
      <c r="AI15" s="21" t="str">
        <f t="shared" si="2"/>
        <v/>
      </c>
      <c r="AJ15" s="21" t="str">
        <f t="shared" si="2"/>
        <v/>
      </c>
      <c r="AK15" s="21" t="str">
        <f t="shared" si="3"/>
        <v/>
      </c>
      <c r="AL15" s="21" t="str">
        <f t="shared" si="3"/>
        <v/>
      </c>
      <c r="AM15" s="21" t="str">
        <f t="shared" si="3"/>
        <v/>
      </c>
      <c r="AN15" s="21" t="str">
        <f t="shared" si="3"/>
        <v/>
      </c>
      <c r="AO15" s="21" t="str">
        <f t="shared" si="3"/>
        <v/>
      </c>
      <c r="AP15" s="21" t="str">
        <f t="shared" si="3"/>
        <v/>
      </c>
      <c r="AQ15" s="21" t="str">
        <f t="shared" si="3"/>
        <v/>
      </c>
      <c r="AR15" s="21" t="str">
        <f t="shared" si="3"/>
        <v/>
      </c>
      <c r="AS15" s="21" t="str">
        <f t="shared" si="3"/>
        <v/>
      </c>
      <c r="AT15" s="21" t="str">
        <f t="shared" si="3"/>
        <v/>
      </c>
      <c r="AU15" s="21" t="str">
        <f t="shared" si="3"/>
        <v/>
      </c>
      <c r="AV15" s="21" t="str">
        <f t="shared" si="3"/>
        <v/>
      </c>
    </row>
    <row r="16" spans="1:48">
      <c r="A16" s="19" t="str">
        <f>Timeline!A24</f>
        <v>T11</v>
      </c>
      <c r="B16" s="20" t="str">
        <f>Timeline!B24</f>
        <v>0 Onboarding (M1-3)</v>
      </c>
      <c r="C16" s="20" t="str">
        <f>Timeline!C24</f>
        <v>Submit Candidate-Supervisor Agreement + Year 1 Plan</v>
      </c>
      <c r="D16" s="19" t="str">
        <f>Timeline!D24</f>
        <v>Milestone</v>
      </c>
      <c r="E16" s="19">
        <f>Timeline!E24</f>
        <v>3</v>
      </c>
      <c r="F16" s="19">
        <f>Timeline!F24</f>
        <v>3</v>
      </c>
      <c r="G16" s="21" t="str">
        <f t="shared" ref="G16:P25" si="4">IF(AND(G$4&gt;=$E16,G$4&lt;=$F16),1,"")</f>
        <v/>
      </c>
      <c r="H16" s="21" t="str">
        <f t="shared" si="4"/>
        <v/>
      </c>
      <c r="I16" s="21">
        <f t="shared" si="4"/>
        <v>1</v>
      </c>
      <c r="J16" s="21" t="str">
        <f t="shared" si="4"/>
        <v/>
      </c>
      <c r="K16" s="21" t="str">
        <f t="shared" si="4"/>
        <v/>
      </c>
      <c r="L16" s="21" t="str">
        <f t="shared" si="4"/>
        <v/>
      </c>
      <c r="M16" s="21" t="str">
        <f t="shared" si="4"/>
        <v/>
      </c>
      <c r="N16" s="21" t="str">
        <f t="shared" si="4"/>
        <v/>
      </c>
      <c r="O16" s="21" t="str">
        <f t="shared" si="4"/>
        <v/>
      </c>
      <c r="P16" s="21" t="str">
        <f t="shared" si="4"/>
        <v/>
      </c>
      <c r="Q16" s="21" t="str">
        <f t="shared" ref="Q16:Z25" si="5">IF(AND(Q$4&gt;=$E16,Q$4&lt;=$F16),1,"")</f>
        <v/>
      </c>
      <c r="R16" s="21" t="str">
        <f t="shared" si="5"/>
        <v/>
      </c>
      <c r="S16" s="21" t="str">
        <f t="shared" si="5"/>
        <v/>
      </c>
      <c r="T16" s="21" t="str">
        <f t="shared" si="5"/>
        <v/>
      </c>
      <c r="U16" s="21" t="str">
        <f t="shared" si="5"/>
        <v/>
      </c>
      <c r="V16" s="21" t="str">
        <f t="shared" si="5"/>
        <v/>
      </c>
      <c r="W16" s="21" t="str">
        <f t="shared" si="5"/>
        <v/>
      </c>
      <c r="X16" s="21" t="str">
        <f t="shared" si="5"/>
        <v/>
      </c>
      <c r="Y16" s="21" t="str">
        <f t="shared" si="5"/>
        <v/>
      </c>
      <c r="Z16" s="21" t="str">
        <f t="shared" si="5"/>
        <v/>
      </c>
      <c r="AA16" s="21" t="str">
        <f t="shared" ref="AA16:AJ25" si="6">IF(AND(AA$4&gt;=$E16,AA$4&lt;=$F16),1,"")</f>
        <v/>
      </c>
      <c r="AB16" s="21" t="str">
        <f t="shared" si="6"/>
        <v/>
      </c>
      <c r="AC16" s="21" t="str">
        <f t="shared" si="6"/>
        <v/>
      </c>
      <c r="AD16" s="21" t="str">
        <f t="shared" si="6"/>
        <v/>
      </c>
      <c r="AE16" s="21" t="str">
        <f t="shared" si="6"/>
        <v/>
      </c>
      <c r="AF16" s="21" t="str">
        <f t="shared" si="6"/>
        <v/>
      </c>
      <c r="AG16" s="21" t="str">
        <f t="shared" si="6"/>
        <v/>
      </c>
      <c r="AH16" s="21" t="str">
        <f t="shared" si="6"/>
        <v/>
      </c>
      <c r="AI16" s="21" t="str">
        <f t="shared" si="6"/>
        <v/>
      </c>
      <c r="AJ16" s="21" t="str">
        <f t="shared" si="6"/>
        <v/>
      </c>
      <c r="AK16" s="21" t="str">
        <f t="shared" ref="AK16:AV25" si="7">IF(AND(AK$4&gt;=$E16,AK$4&lt;=$F16),1,"")</f>
        <v/>
      </c>
      <c r="AL16" s="21" t="str">
        <f t="shared" si="7"/>
        <v/>
      </c>
      <c r="AM16" s="21" t="str">
        <f t="shared" si="7"/>
        <v/>
      </c>
      <c r="AN16" s="21" t="str">
        <f t="shared" si="7"/>
        <v/>
      </c>
      <c r="AO16" s="21" t="str">
        <f t="shared" si="7"/>
        <v/>
      </c>
      <c r="AP16" s="21" t="str">
        <f t="shared" si="7"/>
        <v/>
      </c>
      <c r="AQ16" s="21" t="str">
        <f t="shared" si="7"/>
        <v/>
      </c>
      <c r="AR16" s="21" t="str">
        <f t="shared" si="7"/>
        <v/>
      </c>
      <c r="AS16" s="21" t="str">
        <f t="shared" si="7"/>
        <v/>
      </c>
      <c r="AT16" s="21" t="str">
        <f t="shared" si="7"/>
        <v/>
      </c>
      <c r="AU16" s="21" t="str">
        <f t="shared" si="7"/>
        <v/>
      </c>
      <c r="AV16" s="21" t="str">
        <f t="shared" si="7"/>
        <v/>
      </c>
    </row>
    <row r="17" spans="1:48">
      <c r="A17" s="19" t="str">
        <f>Timeline!A25</f>
        <v>T12</v>
      </c>
      <c r="B17" s="20" t="str">
        <f>Timeline!B25</f>
        <v>1 Foundation &amp; Confirmation (M1-12)</v>
      </c>
      <c r="C17" s="20" t="str">
        <f>Timeline!C25</f>
        <v>Literature review</v>
      </c>
      <c r="D17" s="19" t="str">
        <f>Timeline!D25</f>
        <v>Task</v>
      </c>
      <c r="E17" s="19">
        <f>Timeline!E25</f>
        <v>1</v>
      </c>
      <c r="F17" s="19">
        <f>Timeline!F25</f>
        <v>6</v>
      </c>
      <c r="G17" s="21">
        <f t="shared" si="4"/>
        <v>1</v>
      </c>
      <c r="H17" s="21">
        <f t="shared" si="4"/>
        <v>1</v>
      </c>
      <c r="I17" s="21">
        <f t="shared" si="4"/>
        <v>1</v>
      </c>
      <c r="J17" s="21">
        <f t="shared" si="4"/>
        <v>1</v>
      </c>
      <c r="K17" s="21">
        <f t="shared" si="4"/>
        <v>1</v>
      </c>
      <c r="L17" s="21">
        <f t="shared" si="4"/>
        <v>1</v>
      </c>
      <c r="M17" s="21" t="str">
        <f t="shared" si="4"/>
        <v/>
      </c>
      <c r="N17" s="21" t="str">
        <f t="shared" si="4"/>
        <v/>
      </c>
      <c r="O17" s="21" t="str">
        <f t="shared" si="4"/>
        <v/>
      </c>
      <c r="P17" s="21" t="str">
        <f t="shared" si="4"/>
        <v/>
      </c>
      <c r="Q17" s="21" t="str">
        <f t="shared" si="5"/>
        <v/>
      </c>
      <c r="R17" s="21" t="str">
        <f t="shared" si="5"/>
        <v/>
      </c>
      <c r="S17" s="21" t="str">
        <f t="shared" si="5"/>
        <v/>
      </c>
      <c r="T17" s="21" t="str">
        <f t="shared" si="5"/>
        <v/>
      </c>
      <c r="U17" s="21" t="str">
        <f t="shared" si="5"/>
        <v/>
      </c>
      <c r="V17" s="21" t="str">
        <f t="shared" si="5"/>
        <v/>
      </c>
      <c r="W17" s="21" t="str">
        <f t="shared" si="5"/>
        <v/>
      </c>
      <c r="X17" s="21" t="str">
        <f t="shared" si="5"/>
        <v/>
      </c>
      <c r="Y17" s="21" t="str">
        <f t="shared" si="5"/>
        <v/>
      </c>
      <c r="Z17" s="21" t="str">
        <f t="shared" si="5"/>
        <v/>
      </c>
      <c r="AA17" s="21" t="str">
        <f t="shared" si="6"/>
        <v/>
      </c>
      <c r="AB17" s="21" t="str">
        <f t="shared" si="6"/>
        <v/>
      </c>
      <c r="AC17" s="21" t="str">
        <f t="shared" si="6"/>
        <v/>
      </c>
      <c r="AD17" s="21" t="str">
        <f t="shared" si="6"/>
        <v/>
      </c>
      <c r="AE17" s="21" t="str">
        <f t="shared" si="6"/>
        <v/>
      </c>
      <c r="AF17" s="21" t="str">
        <f t="shared" si="6"/>
        <v/>
      </c>
      <c r="AG17" s="21" t="str">
        <f t="shared" si="6"/>
        <v/>
      </c>
      <c r="AH17" s="21" t="str">
        <f t="shared" si="6"/>
        <v/>
      </c>
      <c r="AI17" s="21" t="str">
        <f t="shared" si="6"/>
        <v/>
      </c>
      <c r="AJ17" s="21" t="str">
        <f t="shared" si="6"/>
        <v/>
      </c>
      <c r="AK17" s="21" t="str">
        <f t="shared" si="7"/>
        <v/>
      </c>
      <c r="AL17" s="21" t="str">
        <f t="shared" si="7"/>
        <v/>
      </c>
      <c r="AM17" s="21" t="str">
        <f t="shared" si="7"/>
        <v/>
      </c>
      <c r="AN17" s="21" t="str">
        <f t="shared" si="7"/>
        <v/>
      </c>
      <c r="AO17" s="21" t="str">
        <f t="shared" si="7"/>
        <v/>
      </c>
      <c r="AP17" s="21" t="str">
        <f t="shared" si="7"/>
        <v/>
      </c>
      <c r="AQ17" s="21" t="str">
        <f t="shared" si="7"/>
        <v/>
      </c>
      <c r="AR17" s="21" t="str">
        <f t="shared" si="7"/>
        <v/>
      </c>
      <c r="AS17" s="21" t="str">
        <f t="shared" si="7"/>
        <v/>
      </c>
      <c r="AT17" s="21" t="str">
        <f t="shared" si="7"/>
        <v/>
      </c>
      <c r="AU17" s="21" t="str">
        <f t="shared" si="7"/>
        <v/>
      </c>
      <c r="AV17" s="21" t="str">
        <f t="shared" si="7"/>
        <v/>
      </c>
    </row>
    <row r="18" spans="1:48">
      <c r="A18" s="19" t="str">
        <f>Timeline!A26</f>
        <v>T13</v>
      </c>
      <c r="B18" s="20" t="str">
        <f>Timeline!B26</f>
        <v>1 Foundation &amp; Confirmation (M1-12)</v>
      </c>
      <c r="C18" s="20" t="str">
        <f>Timeline!C26</f>
        <v>Skills assessment &amp; training plan (part of CoC written component)</v>
      </c>
      <c r="D18" s="19" t="str">
        <f>Timeline!D26</f>
        <v>Task</v>
      </c>
      <c r="E18" s="19">
        <f>Timeline!E26</f>
        <v>2</v>
      </c>
      <c r="F18" s="19">
        <f>Timeline!F26</f>
        <v>4</v>
      </c>
      <c r="G18" s="21" t="str">
        <f t="shared" si="4"/>
        <v/>
      </c>
      <c r="H18" s="21">
        <f t="shared" si="4"/>
        <v>1</v>
      </c>
      <c r="I18" s="21">
        <f t="shared" si="4"/>
        <v>1</v>
      </c>
      <c r="J18" s="21">
        <f t="shared" si="4"/>
        <v>1</v>
      </c>
      <c r="K18" s="21" t="str">
        <f t="shared" si="4"/>
        <v/>
      </c>
      <c r="L18" s="21" t="str">
        <f t="shared" si="4"/>
        <v/>
      </c>
      <c r="M18" s="21" t="str">
        <f t="shared" si="4"/>
        <v/>
      </c>
      <c r="N18" s="21" t="str">
        <f t="shared" si="4"/>
        <v/>
      </c>
      <c r="O18" s="21" t="str">
        <f t="shared" si="4"/>
        <v/>
      </c>
      <c r="P18" s="21" t="str">
        <f t="shared" si="4"/>
        <v/>
      </c>
      <c r="Q18" s="21" t="str">
        <f t="shared" si="5"/>
        <v/>
      </c>
      <c r="R18" s="21" t="str">
        <f t="shared" si="5"/>
        <v/>
      </c>
      <c r="S18" s="21" t="str">
        <f t="shared" si="5"/>
        <v/>
      </c>
      <c r="T18" s="21" t="str">
        <f t="shared" si="5"/>
        <v/>
      </c>
      <c r="U18" s="21" t="str">
        <f t="shared" si="5"/>
        <v/>
      </c>
      <c r="V18" s="21" t="str">
        <f t="shared" si="5"/>
        <v/>
      </c>
      <c r="W18" s="21" t="str">
        <f t="shared" si="5"/>
        <v/>
      </c>
      <c r="X18" s="21" t="str">
        <f t="shared" si="5"/>
        <v/>
      </c>
      <c r="Y18" s="21" t="str">
        <f t="shared" si="5"/>
        <v/>
      </c>
      <c r="Z18" s="21" t="str">
        <f t="shared" si="5"/>
        <v/>
      </c>
      <c r="AA18" s="21" t="str">
        <f t="shared" si="6"/>
        <v/>
      </c>
      <c r="AB18" s="21" t="str">
        <f t="shared" si="6"/>
        <v/>
      </c>
      <c r="AC18" s="21" t="str">
        <f t="shared" si="6"/>
        <v/>
      </c>
      <c r="AD18" s="21" t="str">
        <f t="shared" si="6"/>
        <v/>
      </c>
      <c r="AE18" s="21" t="str">
        <f t="shared" si="6"/>
        <v/>
      </c>
      <c r="AF18" s="21" t="str">
        <f t="shared" si="6"/>
        <v/>
      </c>
      <c r="AG18" s="21" t="str">
        <f t="shared" si="6"/>
        <v/>
      </c>
      <c r="AH18" s="21" t="str">
        <f t="shared" si="6"/>
        <v/>
      </c>
      <c r="AI18" s="21" t="str">
        <f t="shared" si="6"/>
        <v/>
      </c>
      <c r="AJ18" s="21" t="str">
        <f t="shared" si="6"/>
        <v/>
      </c>
      <c r="AK18" s="21" t="str">
        <f t="shared" si="7"/>
        <v/>
      </c>
      <c r="AL18" s="21" t="str">
        <f t="shared" si="7"/>
        <v/>
      </c>
      <c r="AM18" s="21" t="str">
        <f t="shared" si="7"/>
        <v/>
      </c>
      <c r="AN18" s="21" t="str">
        <f t="shared" si="7"/>
        <v/>
      </c>
      <c r="AO18" s="21" t="str">
        <f t="shared" si="7"/>
        <v/>
      </c>
      <c r="AP18" s="21" t="str">
        <f t="shared" si="7"/>
        <v/>
      </c>
      <c r="AQ18" s="21" t="str">
        <f t="shared" si="7"/>
        <v/>
      </c>
      <c r="AR18" s="21" t="str">
        <f t="shared" si="7"/>
        <v/>
      </c>
      <c r="AS18" s="21" t="str">
        <f t="shared" si="7"/>
        <v/>
      </c>
      <c r="AT18" s="21" t="str">
        <f t="shared" si="7"/>
        <v/>
      </c>
      <c r="AU18" s="21" t="str">
        <f t="shared" si="7"/>
        <v/>
      </c>
      <c r="AV18" s="21" t="str">
        <f t="shared" si="7"/>
        <v/>
      </c>
    </row>
    <row r="19" spans="1:48">
      <c r="A19" s="19" t="str">
        <f>Timeline!A27</f>
        <v>T14</v>
      </c>
      <c r="B19" s="20" t="str">
        <f>Timeline!B27</f>
        <v>1 Foundation &amp; Confirmation (M1-12)</v>
      </c>
      <c r="C19" s="20" t="str">
        <f>Timeline!C27</f>
        <v>Develop methodology / pilot tests</v>
      </c>
      <c r="D19" s="19" t="str">
        <f>Timeline!D27</f>
        <v>Task</v>
      </c>
      <c r="E19" s="19">
        <f>Timeline!E27</f>
        <v>3</v>
      </c>
      <c r="F19" s="19">
        <f>Timeline!F27</f>
        <v>8</v>
      </c>
      <c r="G19" s="21" t="str">
        <f t="shared" si="4"/>
        <v/>
      </c>
      <c r="H19" s="21" t="str">
        <f t="shared" si="4"/>
        <v/>
      </c>
      <c r="I19" s="21">
        <f t="shared" si="4"/>
        <v>1</v>
      </c>
      <c r="J19" s="21">
        <f t="shared" si="4"/>
        <v>1</v>
      </c>
      <c r="K19" s="21">
        <f t="shared" si="4"/>
        <v>1</v>
      </c>
      <c r="L19" s="21">
        <f t="shared" si="4"/>
        <v>1</v>
      </c>
      <c r="M19" s="21">
        <f t="shared" si="4"/>
        <v>1</v>
      </c>
      <c r="N19" s="21">
        <f t="shared" si="4"/>
        <v>1</v>
      </c>
      <c r="O19" s="21" t="str">
        <f t="shared" si="4"/>
        <v/>
      </c>
      <c r="P19" s="21" t="str">
        <f t="shared" si="4"/>
        <v/>
      </c>
      <c r="Q19" s="21" t="str">
        <f t="shared" si="5"/>
        <v/>
      </c>
      <c r="R19" s="21" t="str">
        <f t="shared" si="5"/>
        <v/>
      </c>
      <c r="S19" s="21" t="str">
        <f t="shared" si="5"/>
        <v/>
      </c>
      <c r="T19" s="21" t="str">
        <f t="shared" si="5"/>
        <v/>
      </c>
      <c r="U19" s="21" t="str">
        <f t="shared" si="5"/>
        <v/>
      </c>
      <c r="V19" s="21" t="str">
        <f t="shared" si="5"/>
        <v/>
      </c>
      <c r="W19" s="21" t="str">
        <f t="shared" si="5"/>
        <v/>
      </c>
      <c r="X19" s="21" t="str">
        <f t="shared" si="5"/>
        <v/>
      </c>
      <c r="Y19" s="21" t="str">
        <f t="shared" si="5"/>
        <v/>
      </c>
      <c r="Z19" s="21" t="str">
        <f t="shared" si="5"/>
        <v/>
      </c>
      <c r="AA19" s="21" t="str">
        <f t="shared" si="6"/>
        <v/>
      </c>
      <c r="AB19" s="21" t="str">
        <f t="shared" si="6"/>
        <v/>
      </c>
      <c r="AC19" s="21" t="str">
        <f t="shared" si="6"/>
        <v/>
      </c>
      <c r="AD19" s="21" t="str">
        <f t="shared" si="6"/>
        <v/>
      </c>
      <c r="AE19" s="21" t="str">
        <f t="shared" si="6"/>
        <v/>
      </c>
      <c r="AF19" s="21" t="str">
        <f t="shared" si="6"/>
        <v/>
      </c>
      <c r="AG19" s="21" t="str">
        <f t="shared" si="6"/>
        <v/>
      </c>
      <c r="AH19" s="21" t="str">
        <f t="shared" si="6"/>
        <v/>
      </c>
      <c r="AI19" s="21" t="str">
        <f t="shared" si="6"/>
        <v/>
      </c>
      <c r="AJ19" s="21" t="str">
        <f t="shared" si="6"/>
        <v/>
      </c>
      <c r="AK19" s="21" t="str">
        <f t="shared" si="7"/>
        <v/>
      </c>
      <c r="AL19" s="21" t="str">
        <f t="shared" si="7"/>
        <v/>
      </c>
      <c r="AM19" s="21" t="str">
        <f t="shared" si="7"/>
        <v/>
      </c>
      <c r="AN19" s="21" t="str">
        <f t="shared" si="7"/>
        <v/>
      </c>
      <c r="AO19" s="21" t="str">
        <f t="shared" si="7"/>
        <v/>
      </c>
      <c r="AP19" s="21" t="str">
        <f t="shared" si="7"/>
        <v/>
      </c>
      <c r="AQ19" s="21" t="str">
        <f t="shared" si="7"/>
        <v/>
      </c>
      <c r="AR19" s="21" t="str">
        <f t="shared" si="7"/>
        <v/>
      </c>
      <c r="AS19" s="21" t="str">
        <f t="shared" si="7"/>
        <v/>
      </c>
      <c r="AT19" s="21" t="str">
        <f t="shared" si="7"/>
        <v/>
      </c>
      <c r="AU19" s="21" t="str">
        <f t="shared" si="7"/>
        <v/>
      </c>
      <c r="AV19" s="21" t="str">
        <f t="shared" si="7"/>
        <v/>
      </c>
    </row>
    <row r="20" spans="1:48">
      <c r="A20" s="19" t="str">
        <f>Timeline!A28</f>
        <v>T15</v>
      </c>
      <c r="B20" s="20" t="str">
        <f>Timeline!B28</f>
        <v>1 Foundation &amp; Confirmation (M1-12)</v>
      </c>
      <c r="C20" s="20" t="str">
        <f>Timeline!C28</f>
        <v>Initial results / progress towards results</v>
      </c>
      <c r="D20" s="19" t="str">
        <f>Timeline!D28</f>
        <v>Task</v>
      </c>
      <c r="E20" s="19">
        <f>Timeline!E28</f>
        <v>5</v>
      </c>
      <c r="F20" s="19">
        <f>Timeline!F28</f>
        <v>8</v>
      </c>
      <c r="G20" s="21" t="str">
        <f t="shared" si="4"/>
        <v/>
      </c>
      <c r="H20" s="21" t="str">
        <f t="shared" si="4"/>
        <v/>
      </c>
      <c r="I20" s="21" t="str">
        <f t="shared" si="4"/>
        <v/>
      </c>
      <c r="J20" s="21" t="str">
        <f t="shared" si="4"/>
        <v/>
      </c>
      <c r="K20" s="21">
        <f t="shared" si="4"/>
        <v>1</v>
      </c>
      <c r="L20" s="21">
        <f t="shared" si="4"/>
        <v>1</v>
      </c>
      <c r="M20" s="21">
        <f t="shared" si="4"/>
        <v>1</v>
      </c>
      <c r="N20" s="21">
        <f t="shared" si="4"/>
        <v>1</v>
      </c>
      <c r="O20" s="21" t="str">
        <f t="shared" si="4"/>
        <v/>
      </c>
      <c r="P20" s="21" t="str">
        <f t="shared" si="4"/>
        <v/>
      </c>
      <c r="Q20" s="21" t="str">
        <f t="shared" si="5"/>
        <v/>
      </c>
      <c r="R20" s="21" t="str">
        <f t="shared" si="5"/>
        <v/>
      </c>
      <c r="S20" s="21" t="str">
        <f t="shared" si="5"/>
        <v/>
      </c>
      <c r="T20" s="21" t="str">
        <f t="shared" si="5"/>
        <v/>
      </c>
      <c r="U20" s="21" t="str">
        <f t="shared" si="5"/>
        <v/>
      </c>
      <c r="V20" s="21" t="str">
        <f t="shared" si="5"/>
        <v/>
      </c>
      <c r="W20" s="21" t="str">
        <f t="shared" si="5"/>
        <v/>
      </c>
      <c r="X20" s="21" t="str">
        <f t="shared" si="5"/>
        <v/>
      </c>
      <c r="Y20" s="21" t="str">
        <f t="shared" si="5"/>
        <v/>
      </c>
      <c r="Z20" s="21" t="str">
        <f t="shared" si="5"/>
        <v/>
      </c>
      <c r="AA20" s="21" t="str">
        <f t="shared" si="6"/>
        <v/>
      </c>
      <c r="AB20" s="21" t="str">
        <f t="shared" si="6"/>
        <v/>
      </c>
      <c r="AC20" s="21" t="str">
        <f t="shared" si="6"/>
        <v/>
      </c>
      <c r="AD20" s="21" t="str">
        <f t="shared" si="6"/>
        <v/>
      </c>
      <c r="AE20" s="21" t="str">
        <f t="shared" si="6"/>
        <v/>
      </c>
      <c r="AF20" s="21" t="str">
        <f t="shared" si="6"/>
        <v/>
      </c>
      <c r="AG20" s="21" t="str">
        <f t="shared" si="6"/>
        <v/>
      </c>
      <c r="AH20" s="21" t="str">
        <f t="shared" si="6"/>
        <v/>
      </c>
      <c r="AI20" s="21" t="str">
        <f t="shared" si="6"/>
        <v/>
      </c>
      <c r="AJ20" s="21" t="str">
        <f t="shared" si="6"/>
        <v/>
      </c>
      <c r="AK20" s="21" t="str">
        <f t="shared" si="7"/>
        <v/>
      </c>
      <c r="AL20" s="21" t="str">
        <f t="shared" si="7"/>
        <v/>
      </c>
      <c r="AM20" s="21" t="str">
        <f t="shared" si="7"/>
        <v/>
      </c>
      <c r="AN20" s="21" t="str">
        <f t="shared" si="7"/>
        <v/>
      </c>
      <c r="AO20" s="21" t="str">
        <f t="shared" si="7"/>
        <v/>
      </c>
      <c r="AP20" s="21" t="str">
        <f t="shared" si="7"/>
        <v/>
      </c>
      <c r="AQ20" s="21" t="str">
        <f t="shared" si="7"/>
        <v/>
      </c>
      <c r="AR20" s="21" t="str">
        <f t="shared" si="7"/>
        <v/>
      </c>
      <c r="AS20" s="21" t="str">
        <f t="shared" si="7"/>
        <v/>
      </c>
      <c r="AT20" s="21" t="str">
        <f t="shared" si="7"/>
        <v/>
      </c>
      <c r="AU20" s="21" t="str">
        <f t="shared" si="7"/>
        <v/>
      </c>
      <c r="AV20" s="21" t="str">
        <f t="shared" si="7"/>
        <v/>
      </c>
    </row>
    <row r="21" spans="1:48">
      <c r="A21" s="19" t="str">
        <f>Timeline!A29</f>
        <v>T16</v>
      </c>
      <c r="B21" s="20" t="str">
        <f>Timeline!B29</f>
        <v>1 Foundation &amp; Confirmation (M1-12)</v>
      </c>
      <c r="C21" s="20" t="str">
        <f>Timeline!C29</f>
        <v>Confirmation Review Panel (CRP) established by Delegated Authority / AD(HDR)</v>
      </c>
      <c r="D21" s="19" t="str">
        <f>Timeline!D29</f>
        <v>Milestone</v>
      </c>
      <c r="E21" s="19">
        <f>Timeline!E29</f>
        <v>4</v>
      </c>
      <c r="F21" s="19">
        <f>Timeline!F29</f>
        <v>4</v>
      </c>
      <c r="G21" s="21" t="str">
        <f t="shared" si="4"/>
        <v/>
      </c>
      <c r="H21" s="21" t="str">
        <f t="shared" si="4"/>
        <v/>
      </c>
      <c r="I21" s="21" t="str">
        <f t="shared" si="4"/>
        <v/>
      </c>
      <c r="J21" s="21">
        <f t="shared" si="4"/>
        <v>1</v>
      </c>
      <c r="K21" s="21" t="str">
        <f t="shared" si="4"/>
        <v/>
      </c>
      <c r="L21" s="21" t="str">
        <f t="shared" si="4"/>
        <v/>
      </c>
      <c r="M21" s="21" t="str">
        <f t="shared" si="4"/>
        <v/>
      </c>
      <c r="N21" s="21" t="str">
        <f t="shared" si="4"/>
        <v/>
      </c>
      <c r="O21" s="21" t="str">
        <f t="shared" si="4"/>
        <v/>
      </c>
      <c r="P21" s="21" t="str">
        <f t="shared" si="4"/>
        <v/>
      </c>
      <c r="Q21" s="21" t="str">
        <f t="shared" si="5"/>
        <v/>
      </c>
      <c r="R21" s="21" t="str">
        <f t="shared" si="5"/>
        <v/>
      </c>
      <c r="S21" s="21" t="str">
        <f t="shared" si="5"/>
        <v/>
      </c>
      <c r="T21" s="21" t="str">
        <f t="shared" si="5"/>
        <v/>
      </c>
      <c r="U21" s="21" t="str">
        <f t="shared" si="5"/>
        <v/>
      </c>
      <c r="V21" s="21" t="str">
        <f t="shared" si="5"/>
        <v/>
      </c>
      <c r="W21" s="21" t="str">
        <f t="shared" si="5"/>
        <v/>
      </c>
      <c r="X21" s="21" t="str">
        <f t="shared" si="5"/>
        <v/>
      </c>
      <c r="Y21" s="21" t="str">
        <f t="shared" si="5"/>
        <v/>
      </c>
      <c r="Z21" s="21" t="str">
        <f t="shared" si="5"/>
        <v/>
      </c>
      <c r="AA21" s="21" t="str">
        <f t="shared" si="6"/>
        <v/>
      </c>
      <c r="AB21" s="21" t="str">
        <f t="shared" si="6"/>
        <v/>
      </c>
      <c r="AC21" s="21" t="str">
        <f t="shared" si="6"/>
        <v/>
      </c>
      <c r="AD21" s="21" t="str">
        <f t="shared" si="6"/>
        <v/>
      </c>
      <c r="AE21" s="21" t="str">
        <f t="shared" si="6"/>
        <v/>
      </c>
      <c r="AF21" s="21" t="str">
        <f t="shared" si="6"/>
        <v/>
      </c>
      <c r="AG21" s="21" t="str">
        <f t="shared" si="6"/>
        <v/>
      </c>
      <c r="AH21" s="21" t="str">
        <f t="shared" si="6"/>
        <v/>
      </c>
      <c r="AI21" s="21" t="str">
        <f t="shared" si="6"/>
        <v/>
      </c>
      <c r="AJ21" s="21" t="str">
        <f t="shared" si="6"/>
        <v/>
      </c>
      <c r="AK21" s="21" t="str">
        <f t="shared" si="7"/>
        <v/>
      </c>
      <c r="AL21" s="21" t="str">
        <f t="shared" si="7"/>
        <v/>
      </c>
      <c r="AM21" s="21" t="str">
        <f t="shared" si="7"/>
        <v/>
      </c>
      <c r="AN21" s="21" t="str">
        <f t="shared" si="7"/>
        <v/>
      </c>
      <c r="AO21" s="21" t="str">
        <f t="shared" si="7"/>
        <v/>
      </c>
      <c r="AP21" s="21" t="str">
        <f t="shared" si="7"/>
        <v/>
      </c>
      <c r="AQ21" s="21" t="str">
        <f t="shared" si="7"/>
        <v/>
      </c>
      <c r="AR21" s="21" t="str">
        <f t="shared" si="7"/>
        <v/>
      </c>
      <c r="AS21" s="21" t="str">
        <f t="shared" si="7"/>
        <v/>
      </c>
      <c r="AT21" s="21" t="str">
        <f t="shared" si="7"/>
        <v/>
      </c>
      <c r="AU21" s="21" t="str">
        <f t="shared" si="7"/>
        <v/>
      </c>
      <c r="AV21" s="21" t="str">
        <f t="shared" si="7"/>
        <v/>
      </c>
    </row>
    <row r="22" spans="1:48">
      <c r="A22" s="19" t="str">
        <f>Timeline!A30</f>
        <v>T17</v>
      </c>
      <c r="B22" s="20" t="str">
        <f>Timeline!B30</f>
        <v>1 Foundation &amp; Confirmation (M1-12)</v>
      </c>
      <c r="C22" s="20" t="str">
        <f>Timeline!C30</f>
        <v>Write Thesis Proposal (min 4,000 words: lit review, method, original contribution, initial results, timeline, resources, skills assessment)</v>
      </c>
      <c r="D22" s="19" t="str">
        <f>Timeline!D30</f>
        <v>Task</v>
      </c>
      <c r="E22" s="19">
        <f>Timeline!E30</f>
        <v>6</v>
      </c>
      <c r="F22" s="19">
        <f>Timeline!F30</f>
        <v>8</v>
      </c>
      <c r="G22" s="21" t="str">
        <f t="shared" si="4"/>
        <v/>
      </c>
      <c r="H22" s="21" t="str">
        <f t="shared" si="4"/>
        <v/>
      </c>
      <c r="I22" s="21" t="str">
        <f t="shared" si="4"/>
        <v/>
      </c>
      <c r="J22" s="21" t="str">
        <f t="shared" si="4"/>
        <v/>
      </c>
      <c r="K22" s="21" t="str">
        <f t="shared" si="4"/>
        <v/>
      </c>
      <c r="L22" s="21">
        <f t="shared" si="4"/>
        <v>1</v>
      </c>
      <c r="M22" s="21">
        <f t="shared" si="4"/>
        <v>1</v>
      </c>
      <c r="N22" s="21">
        <f t="shared" si="4"/>
        <v>1</v>
      </c>
      <c r="O22" s="21" t="str">
        <f t="shared" si="4"/>
        <v/>
      </c>
      <c r="P22" s="21" t="str">
        <f t="shared" si="4"/>
        <v/>
      </c>
      <c r="Q22" s="21" t="str">
        <f t="shared" si="5"/>
        <v/>
      </c>
      <c r="R22" s="21" t="str">
        <f t="shared" si="5"/>
        <v/>
      </c>
      <c r="S22" s="21" t="str">
        <f t="shared" si="5"/>
        <v/>
      </c>
      <c r="T22" s="21" t="str">
        <f t="shared" si="5"/>
        <v/>
      </c>
      <c r="U22" s="21" t="str">
        <f t="shared" si="5"/>
        <v/>
      </c>
      <c r="V22" s="21" t="str">
        <f t="shared" si="5"/>
        <v/>
      </c>
      <c r="W22" s="21" t="str">
        <f t="shared" si="5"/>
        <v/>
      </c>
      <c r="X22" s="21" t="str">
        <f t="shared" si="5"/>
        <v/>
      </c>
      <c r="Y22" s="21" t="str">
        <f t="shared" si="5"/>
        <v/>
      </c>
      <c r="Z22" s="21" t="str">
        <f t="shared" si="5"/>
        <v/>
      </c>
      <c r="AA22" s="21" t="str">
        <f t="shared" si="6"/>
        <v/>
      </c>
      <c r="AB22" s="21" t="str">
        <f t="shared" si="6"/>
        <v/>
      </c>
      <c r="AC22" s="21" t="str">
        <f t="shared" si="6"/>
        <v/>
      </c>
      <c r="AD22" s="21" t="str">
        <f t="shared" si="6"/>
        <v/>
      </c>
      <c r="AE22" s="21" t="str">
        <f t="shared" si="6"/>
        <v/>
      </c>
      <c r="AF22" s="21" t="str">
        <f t="shared" si="6"/>
        <v/>
      </c>
      <c r="AG22" s="21" t="str">
        <f t="shared" si="6"/>
        <v/>
      </c>
      <c r="AH22" s="21" t="str">
        <f t="shared" si="6"/>
        <v/>
      </c>
      <c r="AI22" s="21" t="str">
        <f t="shared" si="6"/>
        <v/>
      </c>
      <c r="AJ22" s="21" t="str">
        <f t="shared" si="6"/>
        <v/>
      </c>
      <c r="AK22" s="21" t="str">
        <f t="shared" si="7"/>
        <v/>
      </c>
      <c r="AL22" s="21" t="str">
        <f t="shared" si="7"/>
        <v/>
      </c>
      <c r="AM22" s="21" t="str">
        <f t="shared" si="7"/>
        <v/>
      </c>
      <c r="AN22" s="21" t="str">
        <f t="shared" si="7"/>
        <v/>
      </c>
      <c r="AO22" s="21" t="str">
        <f t="shared" si="7"/>
        <v/>
      </c>
      <c r="AP22" s="21" t="str">
        <f t="shared" si="7"/>
        <v/>
      </c>
      <c r="AQ22" s="21" t="str">
        <f t="shared" si="7"/>
        <v/>
      </c>
      <c r="AR22" s="21" t="str">
        <f t="shared" si="7"/>
        <v/>
      </c>
      <c r="AS22" s="21" t="str">
        <f t="shared" si="7"/>
        <v/>
      </c>
      <c r="AT22" s="21" t="str">
        <f t="shared" si="7"/>
        <v/>
      </c>
      <c r="AU22" s="21" t="str">
        <f t="shared" si="7"/>
        <v/>
      </c>
      <c r="AV22" s="21" t="str">
        <f t="shared" si="7"/>
        <v/>
      </c>
    </row>
    <row r="23" spans="1:48">
      <c r="A23" s="19" t="str">
        <f>Timeline!A31</f>
        <v>T18</v>
      </c>
      <c r="B23" s="20" t="str">
        <f>Timeline!B31</f>
        <v>1 Foundation &amp; Confirmation (M1-12)</v>
      </c>
      <c r="C23" s="20" t="str">
        <f>Timeline!C31</f>
        <v>Primary Supervisor approves proposal; submit to CRP (&gt;= 10 working days before oral)</v>
      </c>
      <c r="D23" s="19" t="str">
        <f>Timeline!D31</f>
        <v>Milestone</v>
      </c>
      <c r="E23" s="19">
        <f>Timeline!E31</f>
        <v>8</v>
      </c>
      <c r="F23" s="19">
        <f>Timeline!F31</f>
        <v>8</v>
      </c>
      <c r="G23" s="21" t="str">
        <f t="shared" si="4"/>
        <v/>
      </c>
      <c r="H23" s="21" t="str">
        <f t="shared" si="4"/>
        <v/>
      </c>
      <c r="I23" s="21" t="str">
        <f t="shared" si="4"/>
        <v/>
      </c>
      <c r="J23" s="21" t="str">
        <f t="shared" si="4"/>
        <v/>
      </c>
      <c r="K23" s="21" t="str">
        <f t="shared" si="4"/>
        <v/>
      </c>
      <c r="L23" s="21" t="str">
        <f t="shared" si="4"/>
        <v/>
      </c>
      <c r="M23" s="21" t="str">
        <f t="shared" si="4"/>
        <v/>
      </c>
      <c r="N23" s="21">
        <f t="shared" si="4"/>
        <v>1</v>
      </c>
      <c r="O23" s="21" t="str">
        <f t="shared" si="4"/>
        <v/>
      </c>
      <c r="P23" s="21" t="str">
        <f t="shared" si="4"/>
        <v/>
      </c>
      <c r="Q23" s="21" t="str">
        <f t="shared" si="5"/>
        <v/>
      </c>
      <c r="R23" s="21" t="str">
        <f t="shared" si="5"/>
        <v/>
      </c>
      <c r="S23" s="21" t="str">
        <f t="shared" si="5"/>
        <v/>
      </c>
      <c r="T23" s="21" t="str">
        <f t="shared" si="5"/>
        <v/>
      </c>
      <c r="U23" s="21" t="str">
        <f t="shared" si="5"/>
        <v/>
      </c>
      <c r="V23" s="21" t="str">
        <f t="shared" si="5"/>
        <v/>
      </c>
      <c r="W23" s="21" t="str">
        <f t="shared" si="5"/>
        <v/>
      </c>
      <c r="X23" s="21" t="str">
        <f t="shared" si="5"/>
        <v/>
      </c>
      <c r="Y23" s="21" t="str">
        <f t="shared" si="5"/>
        <v/>
      </c>
      <c r="Z23" s="21" t="str">
        <f t="shared" si="5"/>
        <v/>
      </c>
      <c r="AA23" s="21" t="str">
        <f t="shared" si="6"/>
        <v/>
      </c>
      <c r="AB23" s="21" t="str">
        <f t="shared" si="6"/>
        <v/>
      </c>
      <c r="AC23" s="21" t="str">
        <f t="shared" si="6"/>
        <v/>
      </c>
      <c r="AD23" s="21" t="str">
        <f t="shared" si="6"/>
        <v/>
      </c>
      <c r="AE23" s="21" t="str">
        <f t="shared" si="6"/>
        <v/>
      </c>
      <c r="AF23" s="21" t="str">
        <f t="shared" si="6"/>
        <v/>
      </c>
      <c r="AG23" s="21" t="str">
        <f t="shared" si="6"/>
        <v/>
      </c>
      <c r="AH23" s="21" t="str">
        <f t="shared" si="6"/>
        <v/>
      </c>
      <c r="AI23" s="21" t="str">
        <f t="shared" si="6"/>
        <v/>
      </c>
      <c r="AJ23" s="21" t="str">
        <f t="shared" si="6"/>
        <v/>
      </c>
      <c r="AK23" s="21" t="str">
        <f t="shared" si="7"/>
        <v/>
      </c>
      <c r="AL23" s="21" t="str">
        <f t="shared" si="7"/>
        <v/>
      </c>
      <c r="AM23" s="21" t="str">
        <f t="shared" si="7"/>
        <v/>
      </c>
      <c r="AN23" s="21" t="str">
        <f t="shared" si="7"/>
        <v/>
      </c>
      <c r="AO23" s="21" t="str">
        <f t="shared" si="7"/>
        <v/>
      </c>
      <c r="AP23" s="21" t="str">
        <f t="shared" si="7"/>
        <v/>
      </c>
      <c r="AQ23" s="21" t="str">
        <f t="shared" si="7"/>
        <v/>
      </c>
      <c r="AR23" s="21" t="str">
        <f t="shared" si="7"/>
        <v/>
      </c>
      <c r="AS23" s="21" t="str">
        <f t="shared" si="7"/>
        <v/>
      </c>
      <c r="AT23" s="21" t="str">
        <f t="shared" si="7"/>
        <v/>
      </c>
      <c r="AU23" s="21" t="str">
        <f t="shared" si="7"/>
        <v/>
      </c>
      <c r="AV23" s="21" t="str">
        <f t="shared" si="7"/>
        <v/>
      </c>
    </row>
    <row r="24" spans="1:48">
      <c r="A24" s="19" t="str">
        <f>Timeline!A32</f>
        <v>T19</v>
      </c>
      <c r="B24" s="20" t="str">
        <f>Timeline!B32</f>
        <v>1 Foundation &amp; Confirmation (M1-12)</v>
      </c>
      <c r="C24" s="20" t="str">
        <f>Timeline!C32</f>
        <v>CRP Chair greeting / meeting with candidate (1 month prior to CoC)</v>
      </c>
      <c r="D24" s="19" t="str">
        <f>Timeline!D32</f>
        <v>Milestone</v>
      </c>
      <c r="E24" s="19">
        <f>Timeline!E32</f>
        <v>8</v>
      </c>
      <c r="F24" s="19">
        <f>Timeline!F32</f>
        <v>8</v>
      </c>
      <c r="G24" s="21" t="str">
        <f t="shared" si="4"/>
        <v/>
      </c>
      <c r="H24" s="21" t="str">
        <f t="shared" si="4"/>
        <v/>
      </c>
      <c r="I24" s="21" t="str">
        <f t="shared" si="4"/>
        <v/>
      </c>
      <c r="J24" s="21" t="str">
        <f t="shared" si="4"/>
        <v/>
      </c>
      <c r="K24" s="21" t="str">
        <f t="shared" si="4"/>
        <v/>
      </c>
      <c r="L24" s="21" t="str">
        <f t="shared" si="4"/>
        <v/>
      </c>
      <c r="M24" s="21" t="str">
        <f t="shared" si="4"/>
        <v/>
      </c>
      <c r="N24" s="21">
        <f t="shared" si="4"/>
        <v>1</v>
      </c>
      <c r="O24" s="21" t="str">
        <f t="shared" si="4"/>
        <v/>
      </c>
      <c r="P24" s="21" t="str">
        <f t="shared" si="4"/>
        <v/>
      </c>
      <c r="Q24" s="21" t="str">
        <f t="shared" si="5"/>
        <v/>
      </c>
      <c r="R24" s="21" t="str">
        <f t="shared" si="5"/>
        <v/>
      </c>
      <c r="S24" s="21" t="str">
        <f t="shared" si="5"/>
        <v/>
      </c>
      <c r="T24" s="21" t="str">
        <f t="shared" si="5"/>
        <v/>
      </c>
      <c r="U24" s="21" t="str">
        <f t="shared" si="5"/>
        <v/>
      </c>
      <c r="V24" s="21" t="str">
        <f t="shared" si="5"/>
        <v/>
      </c>
      <c r="W24" s="21" t="str">
        <f t="shared" si="5"/>
        <v/>
      </c>
      <c r="X24" s="21" t="str">
        <f t="shared" si="5"/>
        <v/>
      </c>
      <c r="Y24" s="21" t="str">
        <f t="shared" si="5"/>
        <v/>
      </c>
      <c r="Z24" s="21" t="str">
        <f t="shared" si="5"/>
        <v/>
      </c>
      <c r="AA24" s="21" t="str">
        <f t="shared" si="6"/>
        <v/>
      </c>
      <c r="AB24" s="21" t="str">
        <f t="shared" si="6"/>
        <v/>
      </c>
      <c r="AC24" s="21" t="str">
        <f t="shared" si="6"/>
        <v/>
      </c>
      <c r="AD24" s="21" t="str">
        <f t="shared" si="6"/>
        <v/>
      </c>
      <c r="AE24" s="21" t="str">
        <f t="shared" si="6"/>
        <v/>
      </c>
      <c r="AF24" s="21" t="str">
        <f t="shared" si="6"/>
        <v/>
      </c>
      <c r="AG24" s="21" t="str">
        <f t="shared" si="6"/>
        <v/>
      </c>
      <c r="AH24" s="21" t="str">
        <f t="shared" si="6"/>
        <v/>
      </c>
      <c r="AI24" s="21" t="str">
        <f t="shared" si="6"/>
        <v/>
      </c>
      <c r="AJ24" s="21" t="str">
        <f t="shared" si="6"/>
        <v/>
      </c>
      <c r="AK24" s="21" t="str">
        <f t="shared" si="7"/>
        <v/>
      </c>
      <c r="AL24" s="21" t="str">
        <f t="shared" si="7"/>
        <v/>
      </c>
      <c r="AM24" s="21" t="str">
        <f t="shared" si="7"/>
        <v/>
      </c>
      <c r="AN24" s="21" t="str">
        <f t="shared" si="7"/>
        <v/>
      </c>
      <c r="AO24" s="21" t="str">
        <f t="shared" si="7"/>
        <v/>
      </c>
      <c r="AP24" s="21" t="str">
        <f t="shared" si="7"/>
        <v/>
      </c>
      <c r="AQ24" s="21" t="str">
        <f t="shared" si="7"/>
        <v/>
      </c>
      <c r="AR24" s="21" t="str">
        <f t="shared" si="7"/>
        <v/>
      </c>
      <c r="AS24" s="21" t="str">
        <f t="shared" si="7"/>
        <v/>
      </c>
      <c r="AT24" s="21" t="str">
        <f t="shared" si="7"/>
        <v/>
      </c>
      <c r="AU24" s="21" t="str">
        <f t="shared" si="7"/>
        <v/>
      </c>
      <c r="AV24" s="21" t="str">
        <f t="shared" si="7"/>
        <v/>
      </c>
    </row>
    <row r="25" spans="1:48">
      <c r="A25" s="19" t="str">
        <f>Timeline!A33</f>
        <v>T20</v>
      </c>
      <c r="B25" s="20" t="str">
        <f>Timeline!B33</f>
        <v>1 Foundation &amp; Confirmation (M1-12)</v>
      </c>
      <c r="C25" s="20" t="str">
        <f>Timeline!C33</f>
        <v>Prepare CoC oral presentation (20-30 min + up to 20 min discussion)</v>
      </c>
      <c r="D25" s="19" t="str">
        <f>Timeline!D33</f>
        <v>Task</v>
      </c>
      <c r="E25" s="19">
        <f>Timeline!E33</f>
        <v>8</v>
      </c>
      <c r="F25" s="19">
        <f>Timeline!F33</f>
        <v>9</v>
      </c>
      <c r="G25" s="21" t="str">
        <f t="shared" si="4"/>
        <v/>
      </c>
      <c r="H25" s="21" t="str">
        <f t="shared" si="4"/>
        <v/>
      </c>
      <c r="I25" s="21" t="str">
        <f t="shared" si="4"/>
        <v/>
      </c>
      <c r="J25" s="21" t="str">
        <f t="shared" si="4"/>
        <v/>
      </c>
      <c r="K25" s="21" t="str">
        <f t="shared" si="4"/>
        <v/>
      </c>
      <c r="L25" s="21" t="str">
        <f t="shared" si="4"/>
        <v/>
      </c>
      <c r="M25" s="21" t="str">
        <f t="shared" si="4"/>
        <v/>
      </c>
      <c r="N25" s="21">
        <f t="shared" si="4"/>
        <v>1</v>
      </c>
      <c r="O25" s="21">
        <f t="shared" si="4"/>
        <v>1</v>
      </c>
      <c r="P25" s="21" t="str">
        <f t="shared" si="4"/>
        <v/>
      </c>
      <c r="Q25" s="21" t="str">
        <f t="shared" si="5"/>
        <v/>
      </c>
      <c r="R25" s="21" t="str">
        <f t="shared" si="5"/>
        <v/>
      </c>
      <c r="S25" s="21" t="str">
        <f t="shared" si="5"/>
        <v/>
      </c>
      <c r="T25" s="21" t="str">
        <f t="shared" si="5"/>
        <v/>
      </c>
      <c r="U25" s="21" t="str">
        <f t="shared" si="5"/>
        <v/>
      </c>
      <c r="V25" s="21" t="str">
        <f t="shared" si="5"/>
        <v/>
      </c>
      <c r="W25" s="21" t="str">
        <f t="shared" si="5"/>
        <v/>
      </c>
      <c r="X25" s="21" t="str">
        <f t="shared" si="5"/>
        <v/>
      </c>
      <c r="Y25" s="21" t="str">
        <f t="shared" si="5"/>
        <v/>
      </c>
      <c r="Z25" s="21" t="str">
        <f t="shared" si="5"/>
        <v/>
      </c>
      <c r="AA25" s="21" t="str">
        <f t="shared" si="6"/>
        <v/>
      </c>
      <c r="AB25" s="21" t="str">
        <f t="shared" si="6"/>
        <v/>
      </c>
      <c r="AC25" s="21" t="str">
        <f t="shared" si="6"/>
        <v/>
      </c>
      <c r="AD25" s="21" t="str">
        <f t="shared" si="6"/>
        <v/>
      </c>
      <c r="AE25" s="21" t="str">
        <f t="shared" si="6"/>
        <v/>
      </c>
      <c r="AF25" s="21" t="str">
        <f t="shared" si="6"/>
        <v/>
      </c>
      <c r="AG25" s="21" t="str">
        <f t="shared" si="6"/>
        <v/>
      </c>
      <c r="AH25" s="21" t="str">
        <f t="shared" si="6"/>
        <v/>
      </c>
      <c r="AI25" s="21" t="str">
        <f t="shared" si="6"/>
        <v/>
      </c>
      <c r="AJ25" s="21" t="str">
        <f t="shared" si="6"/>
        <v/>
      </c>
      <c r="AK25" s="21" t="str">
        <f t="shared" si="7"/>
        <v/>
      </c>
      <c r="AL25" s="21" t="str">
        <f t="shared" si="7"/>
        <v/>
      </c>
      <c r="AM25" s="21" t="str">
        <f t="shared" si="7"/>
        <v/>
      </c>
      <c r="AN25" s="21" t="str">
        <f t="shared" si="7"/>
        <v/>
      </c>
      <c r="AO25" s="21" t="str">
        <f t="shared" si="7"/>
        <v/>
      </c>
      <c r="AP25" s="21" t="str">
        <f t="shared" si="7"/>
        <v/>
      </c>
      <c r="AQ25" s="21" t="str">
        <f t="shared" si="7"/>
        <v/>
      </c>
      <c r="AR25" s="21" t="str">
        <f t="shared" si="7"/>
        <v/>
      </c>
      <c r="AS25" s="21" t="str">
        <f t="shared" si="7"/>
        <v/>
      </c>
      <c r="AT25" s="21" t="str">
        <f t="shared" si="7"/>
        <v/>
      </c>
      <c r="AU25" s="21" t="str">
        <f t="shared" si="7"/>
        <v/>
      </c>
      <c r="AV25" s="21" t="str">
        <f t="shared" si="7"/>
        <v/>
      </c>
    </row>
    <row r="26" spans="1:48">
      <c r="A26" s="19" t="str">
        <f>Timeline!A34</f>
        <v>T21</v>
      </c>
      <c r="B26" s="20" t="str">
        <f>Timeline!B34</f>
        <v>1 Foundation &amp; Confirmation (M1-12)</v>
      </c>
      <c r="C26" s="20" t="str">
        <f>Timeline!C34</f>
        <v>CoC oral presentation - aim for EARLIER time (month 9)</v>
      </c>
      <c r="D26" s="19" t="str">
        <f>Timeline!D34</f>
        <v>Milestone</v>
      </c>
      <c r="E26" s="19">
        <f>Timeline!E34</f>
        <v>9</v>
      </c>
      <c r="F26" s="19">
        <f>Timeline!F34</f>
        <v>9</v>
      </c>
      <c r="G26" s="21" t="str">
        <f t="shared" ref="G26:P35" si="8">IF(AND(G$4&gt;=$E26,G$4&lt;=$F26),1,"")</f>
        <v/>
      </c>
      <c r="H26" s="21" t="str">
        <f t="shared" si="8"/>
        <v/>
      </c>
      <c r="I26" s="21" t="str">
        <f t="shared" si="8"/>
        <v/>
      </c>
      <c r="J26" s="21" t="str">
        <f t="shared" si="8"/>
        <v/>
      </c>
      <c r="K26" s="21" t="str">
        <f t="shared" si="8"/>
        <v/>
      </c>
      <c r="L26" s="21" t="str">
        <f t="shared" si="8"/>
        <v/>
      </c>
      <c r="M26" s="21" t="str">
        <f t="shared" si="8"/>
        <v/>
      </c>
      <c r="N26" s="21" t="str">
        <f t="shared" si="8"/>
        <v/>
      </c>
      <c r="O26" s="21">
        <f t="shared" si="8"/>
        <v>1</v>
      </c>
      <c r="P26" s="21" t="str">
        <f t="shared" si="8"/>
        <v/>
      </c>
      <c r="Q26" s="21" t="str">
        <f t="shared" ref="Q26:Z35" si="9">IF(AND(Q$4&gt;=$E26,Q$4&lt;=$F26),1,"")</f>
        <v/>
      </c>
      <c r="R26" s="21" t="str">
        <f t="shared" si="9"/>
        <v/>
      </c>
      <c r="S26" s="21" t="str">
        <f t="shared" si="9"/>
        <v/>
      </c>
      <c r="T26" s="21" t="str">
        <f t="shared" si="9"/>
        <v/>
      </c>
      <c r="U26" s="21" t="str">
        <f t="shared" si="9"/>
        <v/>
      </c>
      <c r="V26" s="21" t="str">
        <f t="shared" si="9"/>
        <v/>
      </c>
      <c r="W26" s="21" t="str">
        <f t="shared" si="9"/>
        <v/>
      </c>
      <c r="X26" s="21" t="str">
        <f t="shared" si="9"/>
        <v/>
      </c>
      <c r="Y26" s="21" t="str">
        <f t="shared" si="9"/>
        <v/>
      </c>
      <c r="Z26" s="21" t="str">
        <f t="shared" si="9"/>
        <v/>
      </c>
      <c r="AA26" s="21" t="str">
        <f t="shared" ref="AA26:AJ35" si="10">IF(AND(AA$4&gt;=$E26,AA$4&lt;=$F26),1,"")</f>
        <v/>
      </c>
      <c r="AB26" s="21" t="str">
        <f t="shared" si="10"/>
        <v/>
      </c>
      <c r="AC26" s="21" t="str">
        <f t="shared" si="10"/>
        <v/>
      </c>
      <c r="AD26" s="21" t="str">
        <f t="shared" si="10"/>
        <v/>
      </c>
      <c r="AE26" s="21" t="str">
        <f t="shared" si="10"/>
        <v/>
      </c>
      <c r="AF26" s="21" t="str">
        <f t="shared" si="10"/>
        <v/>
      </c>
      <c r="AG26" s="21" t="str">
        <f t="shared" si="10"/>
        <v/>
      </c>
      <c r="AH26" s="21" t="str">
        <f t="shared" si="10"/>
        <v/>
      </c>
      <c r="AI26" s="21" t="str">
        <f t="shared" si="10"/>
        <v/>
      </c>
      <c r="AJ26" s="21" t="str">
        <f t="shared" si="10"/>
        <v/>
      </c>
      <c r="AK26" s="21" t="str">
        <f t="shared" ref="AK26:AV35" si="11">IF(AND(AK$4&gt;=$E26,AK$4&lt;=$F26),1,"")</f>
        <v/>
      </c>
      <c r="AL26" s="21" t="str">
        <f t="shared" si="11"/>
        <v/>
      </c>
      <c r="AM26" s="21" t="str">
        <f t="shared" si="11"/>
        <v/>
      </c>
      <c r="AN26" s="21" t="str">
        <f t="shared" si="11"/>
        <v/>
      </c>
      <c r="AO26" s="21" t="str">
        <f t="shared" si="11"/>
        <v/>
      </c>
      <c r="AP26" s="21" t="str">
        <f t="shared" si="11"/>
        <v/>
      </c>
      <c r="AQ26" s="21" t="str">
        <f t="shared" si="11"/>
        <v/>
      </c>
      <c r="AR26" s="21" t="str">
        <f t="shared" si="11"/>
        <v/>
      </c>
      <c r="AS26" s="21" t="str">
        <f t="shared" si="11"/>
        <v/>
      </c>
      <c r="AT26" s="21" t="str">
        <f t="shared" si="11"/>
        <v/>
      </c>
      <c r="AU26" s="21" t="str">
        <f t="shared" si="11"/>
        <v/>
      </c>
      <c r="AV26" s="21" t="str">
        <f t="shared" si="11"/>
        <v/>
      </c>
    </row>
    <row r="27" spans="1:48">
      <c r="A27" s="19" t="str">
        <f>Timeline!A35</f>
        <v>T22</v>
      </c>
      <c r="B27" s="20" t="str">
        <f>Timeline!B35</f>
        <v>1 Foundation &amp; Confirmation (M1-12)</v>
      </c>
      <c r="C27" s="20" t="str">
        <f>Timeline!C35</f>
        <v>CRP outcome / amendments window (to month 12 latest)</v>
      </c>
      <c r="D27" s="19" t="str">
        <f>Timeline!D35</f>
        <v>Task</v>
      </c>
      <c r="E27" s="19">
        <f>Timeline!E35</f>
        <v>9</v>
      </c>
      <c r="F27" s="19">
        <f>Timeline!F35</f>
        <v>12</v>
      </c>
      <c r="G27" s="21" t="str">
        <f t="shared" si="8"/>
        <v/>
      </c>
      <c r="H27" s="21" t="str">
        <f t="shared" si="8"/>
        <v/>
      </c>
      <c r="I27" s="21" t="str">
        <f t="shared" si="8"/>
        <v/>
      </c>
      <c r="J27" s="21" t="str">
        <f t="shared" si="8"/>
        <v/>
      </c>
      <c r="K27" s="21" t="str">
        <f t="shared" si="8"/>
        <v/>
      </c>
      <c r="L27" s="21" t="str">
        <f t="shared" si="8"/>
        <v/>
      </c>
      <c r="M27" s="21" t="str">
        <f t="shared" si="8"/>
        <v/>
      </c>
      <c r="N27" s="21" t="str">
        <f t="shared" si="8"/>
        <v/>
      </c>
      <c r="O27" s="21">
        <f t="shared" si="8"/>
        <v>1</v>
      </c>
      <c r="P27" s="21">
        <f t="shared" si="8"/>
        <v>1</v>
      </c>
      <c r="Q27" s="21">
        <f t="shared" si="9"/>
        <v>1</v>
      </c>
      <c r="R27" s="21">
        <f t="shared" si="9"/>
        <v>1</v>
      </c>
      <c r="S27" s="21" t="str">
        <f t="shared" si="9"/>
        <v/>
      </c>
      <c r="T27" s="21" t="str">
        <f t="shared" si="9"/>
        <v/>
      </c>
      <c r="U27" s="21" t="str">
        <f t="shared" si="9"/>
        <v/>
      </c>
      <c r="V27" s="21" t="str">
        <f t="shared" si="9"/>
        <v/>
      </c>
      <c r="W27" s="21" t="str">
        <f t="shared" si="9"/>
        <v/>
      </c>
      <c r="X27" s="21" t="str">
        <f t="shared" si="9"/>
        <v/>
      </c>
      <c r="Y27" s="21" t="str">
        <f t="shared" si="9"/>
        <v/>
      </c>
      <c r="Z27" s="21" t="str">
        <f t="shared" si="9"/>
        <v/>
      </c>
      <c r="AA27" s="21" t="str">
        <f t="shared" si="10"/>
        <v/>
      </c>
      <c r="AB27" s="21" t="str">
        <f t="shared" si="10"/>
        <v/>
      </c>
      <c r="AC27" s="21" t="str">
        <f t="shared" si="10"/>
        <v/>
      </c>
      <c r="AD27" s="21" t="str">
        <f t="shared" si="10"/>
        <v/>
      </c>
      <c r="AE27" s="21" t="str">
        <f t="shared" si="10"/>
        <v/>
      </c>
      <c r="AF27" s="21" t="str">
        <f t="shared" si="10"/>
        <v/>
      </c>
      <c r="AG27" s="21" t="str">
        <f t="shared" si="10"/>
        <v/>
      </c>
      <c r="AH27" s="21" t="str">
        <f t="shared" si="10"/>
        <v/>
      </c>
      <c r="AI27" s="21" t="str">
        <f t="shared" si="10"/>
        <v/>
      </c>
      <c r="AJ27" s="21" t="str">
        <f t="shared" si="10"/>
        <v/>
      </c>
      <c r="AK27" s="21" t="str">
        <f t="shared" si="11"/>
        <v/>
      </c>
      <c r="AL27" s="21" t="str">
        <f t="shared" si="11"/>
        <v/>
      </c>
      <c r="AM27" s="21" t="str">
        <f t="shared" si="11"/>
        <v/>
      </c>
      <c r="AN27" s="21" t="str">
        <f t="shared" si="11"/>
        <v/>
      </c>
      <c r="AO27" s="21" t="str">
        <f t="shared" si="11"/>
        <v/>
      </c>
      <c r="AP27" s="21" t="str">
        <f t="shared" si="11"/>
        <v/>
      </c>
      <c r="AQ27" s="21" t="str">
        <f t="shared" si="11"/>
        <v/>
      </c>
      <c r="AR27" s="21" t="str">
        <f t="shared" si="11"/>
        <v/>
      </c>
      <c r="AS27" s="21" t="str">
        <f t="shared" si="11"/>
        <v/>
      </c>
      <c r="AT27" s="21" t="str">
        <f t="shared" si="11"/>
        <v/>
      </c>
      <c r="AU27" s="21" t="str">
        <f t="shared" si="11"/>
        <v/>
      </c>
      <c r="AV27" s="21" t="str">
        <f t="shared" si="11"/>
        <v/>
      </c>
    </row>
    <row r="28" spans="1:48">
      <c r="A28" s="19" t="str">
        <f>Timeline!A36</f>
        <v>T23</v>
      </c>
      <c r="B28" s="20" t="str">
        <f>Timeline!B36</f>
        <v>1 Foundation &amp; Confirmation (M1-12)</v>
      </c>
      <c r="C28" s="20" t="str">
        <f>Timeline!C36</f>
        <v>Attend RSES Thursday seminars (13:00-14:00, J1) and ask questions</v>
      </c>
      <c r="D28" s="19" t="str">
        <f>Timeline!D36</f>
        <v>Task</v>
      </c>
      <c r="E28" s="19">
        <f>Timeline!E36</f>
        <v>1</v>
      </c>
      <c r="F28" s="19">
        <f>Timeline!F36</f>
        <v>9</v>
      </c>
      <c r="G28" s="21">
        <f t="shared" si="8"/>
        <v>1</v>
      </c>
      <c r="H28" s="21">
        <f t="shared" si="8"/>
        <v>1</v>
      </c>
      <c r="I28" s="21">
        <f t="shared" si="8"/>
        <v>1</v>
      </c>
      <c r="J28" s="21">
        <f t="shared" si="8"/>
        <v>1</v>
      </c>
      <c r="K28" s="21">
        <f t="shared" si="8"/>
        <v>1</v>
      </c>
      <c r="L28" s="21">
        <f t="shared" si="8"/>
        <v>1</v>
      </c>
      <c r="M28" s="21">
        <f t="shared" si="8"/>
        <v>1</v>
      </c>
      <c r="N28" s="21">
        <f t="shared" si="8"/>
        <v>1</v>
      </c>
      <c r="O28" s="21">
        <f t="shared" si="8"/>
        <v>1</v>
      </c>
      <c r="P28" s="21" t="str">
        <f t="shared" si="8"/>
        <v/>
      </c>
      <c r="Q28" s="21" t="str">
        <f t="shared" si="9"/>
        <v/>
      </c>
      <c r="R28" s="21" t="str">
        <f t="shared" si="9"/>
        <v/>
      </c>
      <c r="S28" s="21" t="str">
        <f t="shared" si="9"/>
        <v/>
      </c>
      <c r="T28" s="21" t="str">
        <f t="shared" si="9"/>
        <v/>
      </c>
      <c r="U28" s="21" t="str">
        <f t="shared" si="9"/>
        <v/>
      </c>
      <c r="V28" s="21" t="str">
        <f t="shared" si="9"/>
        <v/>
      </c>
      <c r="W28" s="21" t="str">
        <f t="shared" si="9"/>
        <v/>
      </c>
      <c r="X28" s="21" t="str">
        <f t="shared" si="9"/>
        <v/>
      </c>
      <c r="Y28" s="21" t="str">
        <f t="shared" si="9"/>
        <v/>
      </c>
      <c r="Z28" s="21" t="str">
        <f t="shared" si="9"/>
        <v/>
      </c>
      <c r="AA28" s="21" t="str">
        <f t="shared" si="10"/>
        <v/>
      </c>
      <c r="AB28" s="21" t="str">
        <f t="shared" si="10"/>
        <v/>
      </c>
      <c r="AC28" s="21" t="str">
        <f t="shared" si="10"/>
        <v/>
      </c>
      <c r="AD28" s="21" t="str">
        <f t="shared" si="10"/>
        <v/>
      </c>
      <c r="AE28" s="21" t="str">
        <f t="shared" si="10"/>
        <v/>
      </c>
      <c r="AF28" s="21" t="str">
        <f t="shared" si="10"/>
        <v/>
      </c>
      <c r="AG28" s="21" t="str">
        <f t="shared" si="10"/>
        <v/>
      </c>
      <c r="AH28" s="21" t="str">
        <f t="shared" si="10"/>
        <v/>
      </c>
      <c r="AI28" s="21" t="str">
        <f t="shared" si="10"/>
        <v/>
      </c>
      <c r="AJ28" s="21" t="str">
        <f t="shared" si="10"/>
        <v/>
      </c>
      <c r="AK28" s="21" t="str">
        <f t="shared" si="11"/>
        <v/>
      </c>
      <c r="AL28" s="21" t="str">
        <f t="shared" si="11"/>
        <v/>
      </c>
      <c r="AM28" s="21" t="str">
        <f t="shared" si="11"/>
        <v/>
      </c>
      <c r="AN28" s="21" t="str">
        <f t="shared" si="11"/>
        <v/>
      </c>
      <c r="AO28" s="21" t="str">
        <f t="shared" si="11"/>
        <v/>
      </c>
      <c r="AP28" s="21" t="str">
        <f t="shared" si="11"/>
        <v/>
      </c>
      <c r="AQ28" s="21" t="str">
        <f t="shared" si="11"/>
        <v/>
      </c>
      <c r="AR28" s="21" t="str">
        <f t="shared" si="11"/>
        <v/>
      </c>
      <c r="AS28" s="21" t="str">
        <f t="shared" si="11"/>
        <v/>
      </c>
      <c r="AT28" s="21" t="str">
        <f t="shared" si="11"/>
        <v/>
      </c>
      <c r="AU28" s="21" t="str">
        <f t="shared" si="11"/>
        <v/>
      </c>
      <c r="AV28" s="21" t="str">
        <f t="shared" si="11"/>
        <v/>
      </c>
    </row>
    <row r="29" spans="1:48">
      <c r="A29" s="19" t="str">
        <f>Timeline!A37</f>
        <v>T24</v>
      </c>
      <c r="B29" s="20" t="str">
        <f>Timeline!B37</f>
        <v>2 Core research (M9-26)</v>
      </c>
      <c r="C29" s="20" t="str">
        <f>Timeline!C37</f>
        <v>Year 2 Annual Report / Plan (eForm, bullets, &lt; 2 pages)</v>
      </c>
      <c r="D29" s="19" t="str">
        <f>Timeline!D37</f>
        <v>Milestone</v>
      </c>
      <c r="E29" s="19">
        <f>Timeline!E37</f>
        <v>12</v>
      </c>
      <c r="F29" s="19">
        <f>Timeline!F37</f>
        <v>12</v>
      </c>
      <c r="G29" s="21" t="str">
        <f t="shared" si="8"/>
        <v/>
      </c>
      <c r="H29" s="21" t="str">
        <f t="shared" si="8"/>
        <v/>
      </c>
      <c r="I29" s="21" t="str">
        <f t="shared" si="8"/>
        <v/>
      </c>
      <c r="J29" s="21" t="str">
        <f t="shared" si="8"/>
        <v/>
      </c>
      <c r="K29" s="21" t="str">
        <f t="shared" si="8"/>
        <v/>
      </c>
      <c r="L29" s="21" t="str">
        <f t="shared" si="8"/>
        <v/>
      </c>
      <c r="M29" s="21" t="str">
        <f t="shared" si="8"/>
        <v/>
      </c>
      <c r="N29" s="21" t="str">
        <f t="shared" si="8"/>
        <v/>
      </c>
      <c r="O29" s="21" t="str">
        <f t="shared" si="8"/>
        <v/>
      </c>
      <c r="P29" s="21" t="str">
        <f t="shared" si="8"/>
        <v/>
      </c>
      <c r="Q29" s="21" t="str">
        <f t="shared" si="9"/>
        <v/>
      </c>
      <c r="R29" s="21">
        <f t="shared" si="9"/>
        <v>1</v>
      </c>
      <c r="S29" s="21" t="str">
        <f t="shared" si="9"/>
        <v/>
      </c>
      <c r="T29" s="21" t="str">
        <f t="shared" si="9"/>
        <v/>
      </c>
      <c r="U29" s="21" t="str">
        <f t="shared" si="9"/>
        <v/>
      </c>
      <c r="V29" s="21" t="str">
        <f t="shared" si="9"/>
        <v/>
      </c>
      <c r="W29" s="21" t="str">
        <f t="shared" si="9"/>
        <v/>
      </c>
      <c r="X29" s="21" t="str">
        <f t="shared" si="9"/>
        <v/>
      </c>
      <c r="Y29" s="21" t="str">
        <f t="shared" si="9"/>
        <v/>
      </c>
      <c r="Z29" s="21" t="str">
        <f t="shared" si="9"/>
        <v/>
      </c>
      <c r="AA29" s="21" t="str">
        <f t="shared" si="10"/>
        <v/>
      </c>
      <c r="AB29" s="21" t="str">
        <f t="shared" si="10"/>
        <v/>
      </c>
      <c r="AC29" s="21" t="str">
        <f t="shared" si="10"/>
        <v/>
      </c>
      <c r="AD29" s="21" t="str">
        <f t="shared" si="10"/>
        <v/>
      </c>
      <c r="AE29" s="21" t="str">
        <f t="shared" si="10"/>
        <v/>
      </c>
      <c r="AF29" s="21" t="str">
        <f t="shared" si="10"/>
        <v/>
      </c>
      <c r="AG29" s="21" t="str">
        <f t="shared" si="10"/>
        <v/>
      </c>
      <c r="AH29" s="21" t="str">
        <f t="shared" si="10"/>
        <v/>
      </c>
      <c r="AI29" s="21" t="str">
        <f t="shared" si="10"/>
        <v/>
      </c>
      <c r="AJ29" s="21" t="str">
        <f t="shared" si="10"/>
        <v/>
      </c>
      <c r="AK29" s="21" t="str">
        <f t="shared" si="11"/>
        <v/>
      </c>
      <c r="AL29" s="21" t="str">
        <f t="shared" si="11"/>
        <v/>
      </c>
      <c r="AM29" s="21" t="str">
        <f t="shared" si="11"/>
        <v/>
      </c>
      <c r="AN29" s="21" t="str">
        <f t="shared" si="11"/>
        <v/>
      </c>
      <c r="AO29" s="21" t="str">
        <f t="shared" si="11"/>
        <v/>
      </c>
      <c r="AP29" s="21" t="str">
        <f t="shared" si="11"/>
        <v/>
      </c>
      <c r="AQ29" s="21" t="str">
        <f t="shared" si="11"/>
        <v/>
      </c>
      <c r="AR29" s="21" t="str">
        <f t="shared" si="11"/>
        <v/>
      </c>
      <c r="AS29" s="21" t="str">
        <f t="shared" si="11"/>
        <v/>
      </c>
      <c r="AT29" s="21" t="str">
        <f t="shared" si="11"/>
        <v/>
      </c>
      <c r="AU29" s="21" t="str">
        <f t="shared" si="11"/>
        <v/>
      </c>
      <c r="AV29" s="21" t="str">
        <f t="shared" si="11"/>
        <v/>
      </c>
    </row>
    <row r="30" spans="1:48">
      <c r="A30" s="19" t="str">
        <f>Timeline!A38</f>
        <v>T25</v>
      </c>
      <c r="B30" s="20" t="str">
        <f>Timeline!B38</f>
        <v>2 Core research (M9-26)</v>
      </c>
      <c r="C30" s="20" t="str">
        <f>Timeline!C38</f>
        <v>Main analysis / method application - part 1</v>
      </c>
      <c r="D30" s="19" t="str">
        <f>Timeline!D38</f>
        <v>Task</v>
      </c>
      <c r="E30" s="19">
        <f>Timeline!E38</f>
        <v>9</v>
      </c>
      <c r="F30" s="19">
        <f>Timeline!F38</f>
        <v>18</v>
      </c>
      <c r="G30" s="21" t="str">
        <f t="shared" si="8"/>
        <v/>
      </c>
      <c r="H30" s="21" t="str">
        <f t="shared" si="8"/>
        <v/>
      </c>
      <c r="I30" s="21" t="str">
        <f t="shared" si="8"/>
        <v/>
      </c>
      <c r="J30" s="21" t="str">
        <f t="shared" si="8"/>
        <v/>
      </c>
      <c r="K30" s="21" t="str">
        <f t="shared" si="8"/>
        <v/>
      </c>
      <c r="L30" s="21" t="str">
        <f t="shared" si="8"/>
        <v/>
      </c>
      <c r="M30" s="21" t="str">
        <f t="shared" si="8"/>
        <v/>
      </c>
      <c r="N30" s="21" t="str">
        <f t="shared" si="8"/>
        <v/>
      </c>
      <c r="O30" s="21">
        <f t="shared" si="8"/>
        <v>1</v>
      </c>
      <c r="P30" s="21">
        <f t="shared" si="8"/>
        <v>1</v>
      </c>
      <c r="Q30" s="21">
        <f t="shared" si="9"/>
        <v>1</v>
      </c>
      <c r="R30" s="21">
        <f t="shared" si="9"/>
        <v>1</v>
      </c>
      <c r="S30" s="21">
        <f t="shared" si="9"/>
        <v>1</v>
      </c>
      <c r="T30" s="21">
        <f t="shared" si="9"/>
        <v>1</v>
      </c>
      <c r="U30" s="21">
        <f t="shared" si="9"/>
        <v>1</v>
      </c>
      <c r="V30" s="21">
        <f t="shared" si="9"/>
        <v>1</v>
      </c>
      <c r="W30" s="21">
        <f t="shared" si="9"/>
        <v>1</v>
      </c>
      <c r="X30" s="21">
        <f t="shared" si="9"/>
        <v>1</v>
      </c>
      <c r="Y30" s="21" t="str">
        <f t="shared" si="9"/>
        <v/>
      </c>
      <c r="Z30" s="21" t="str">
        <f t="shared" si="9"/>
        <v/>
      </c>
      <c r="AA30" s="21" t="str">
        <f t="shared" si="10"/>
        <v/>
      </c>
      <c r="AB30" s="21" t="str">
        <f t="shared" si="10"/>
        <v/>
      </c>
      <c r="AC30" s="21" t="str">
        <f t="shared" si="10"/>
        <v/>
      </c>
      <c r="AD30" s="21" t="str">
        <f t="shared" si="10"/>
        <v/>
      </c>
      <c r="AE30" s="21" t="str">
        <f t="shared" si="10"/>
        <v/>
      </c>
      <c r="AF30" s="21" t="str">
        <f t="shared" si="10"/>
        <v/>
      </c>
      <c r="AG30" s="21" t="str">
        <f t="shared" si="10"/>
        <v/>
      </c>
      <c r="AH30" s="21" t="str">
        <f t="shared" si="10"/>
        <v/>
      </c>
      <c r="AI30" s="21" t="str">
        <f t="shared" si="10"/>
        <v/>
      </c>
      <c r="AJ30" s="21" t="str">
        <f t="shared" si="10"/>
        <v/>
      </c>
      <c r="AK30" s="21" t="str">
        <f t="shared" si="11"/>
        <v/>
      </c>
      <c r="AL30" s="21" t="str">
        <f t="shared" si="11"/>
        <v/>
      </c>
      <c r="AM30" s="21" t="str">
        <f t="shared" si="11"/>
        <v/>
      </c>
      <c r="AN30" s="21" t="str">
        <f t="shared" si="11"/>
        <v/>
      </c>
      <c r="AO30" s="21" t="str">
        <f t="shared" si="11"/>
        <v/>
      </c>
      <c r="AP30" s="21" t="str">
        <f t="shared" si="11"/>
        <v/>
      </c>
      <c r="AQ30" s="21" t="str">
        <f t="shared" si="11"/>
        <v/>
      </c>
      <c r="AR30" s="21" t="str">
        <f t="shared" si="11"/>
        <v/>
      </c>
      <c r="AS30" s="21" t="str">
        <f t="shared" si="11"/>
        <v/>
      </c>
      <c r="AT30" s="21" t="str">
        <f t="shared" si="11"/>
        <v/>
      </c>
      <c r="AU30" s="21" t="str">
        <f t="shared" si="11"/>
        <v/>
      </c>
      <c r="AV30" s="21" t="str">
        <f t="shared" si="11"/>
        <v/>
      </c>
    </row>
    <row r="31" spans="1:48">
      <c r="A31" s="19" t="str">
        <f>Timeline!A39</f>
        <v>T26</v>
      </c>
      <c r="B31" s="20" t="str">
        <f>Timeline!B39</f>
        <v>2 Core research (M9-26)</v>
      </c>
      <c r="C31" s="20" t="str">
        <f>Timeline!C39</f>
        <v>Paper 1: draft, submit to journal</v>
      </c>
      <c r="D31" s="19" t="str">
        <f>Timeline!D39</f>
        <v>Task</v>
      </c>
      <c r="E31" s="19">
        <f>Timeline!E39</f>
        <v>10</v>
      </c>
      <c r="F31" s="19">
        <f>Timeline!F39</f>
        <v>16</v>
      </c>
      <c r="G31" s="21" t="str">
        <f t="shared" si="8"/>
        <v/>
      </c>
      <c r="H31" s="21" t="str">
        <f t="shared" si="8"/>
        <v/>
      </c>
      <c r="I31" s="21" t="str">
        <f t="shared" si="8"/>
        <v/>
      </c>
      <c r="J31" s="21" t="str">
        <f t="shared" si="8"/>
        <v/>
      </c>
      <c r="K31" s="21" t="str">
        <f t="shared" si="8"/>
        <v/>
      </c>
      <c r="L31" s="21" t="str">
        <f t="shared" si="8"/>
        <v/>
      </c>
      <c r="M31" s="21" t="str">
        <f t="shared" si="8"/>
        <v/>
      </c>
      <c r="N31" s="21" t="str">
        <f t="shared" si="8"/>
        <v/>
      </c>
      <c r="O31" s="21" t="str">
        <f t="shared" si="8"/>
        <v/>
      </c>
      <c r="P31" s="21">
        <f t="shared" si="8"/>
        <v>1</v>
      </c>
      <c r="Q31" s="21">
        <f t="shared" si="9"/>
        <v>1</v>
      </c>
      <c r="R31" s="21">
        <f t="shared" si="9"/>
        <v>1</v>
      </c>
      <c r="S31" s="21">
        <f t="shared" si="9"/>
        <v>1</v>
      </c>
      <c r="T31" s="21">
        <f t="shared" si="9"/>
        <v>1</v>
      </c>
      <c r="U31" s="21">
        <f t="shared" si="9"/>
        <v>1</v>
      </c>
      <c r="V31" s="21">
        <f t="shared" si="9"/>
        <v>1</v>
      </c>
      <c r="W31" s="21" t="str">
        <f t="shared" si="9"/>
        <v/>
      </c>
      <c r="X31" s="21" t="str">
        <f t="shared" si="9"/>
        <v/>
      </c>
      <c r="Y31" s="21" t="str">
        <f t="shared" si="9"/>
        <v/>
      </c>
      <c r="Z31" s="21" t="str">
        <f t="shared" si="9"/>
        <v/>
      </c>
      <c r="AA31" s="21" t="str">
        <f t="shared" si="10"/>
        <v/>
      </c>
      <c r="AB31" s="21" t="str">
        <f t="shared" si="10"/>
        <v/>
      </c>
      <c r="AC31" s="21" t="str">
        <f t="shared" si="10"/>
        <v/>
      </c>
      <c r="AD31" s="21" t="str">
        <f t="shared" si="10"/>
        <v/>
      </c>
      <c r="AE31" s="21" t="str">
        <f t="shared" si="10"/>
        <v/>
      </c>
      <c r="AF31" s="21" t="str">
        <f t="shared" si="10"/>
        <v/>
      </c>
      <c r="AG31" s="21" t="str">
        <f t="shared" si="10"/>
        <v/>
      </c>
      <c r="AH31" s="21" t="str">
        <f t="shared" si="10"/>
        <v/>
      </c>
      <c r="AI31" s="21" t="str">
        <f t="shared" si="10"/>
        <v/>
      </c>
      <c r="AJ31" s="21" t="str">
        <f t="shared" si="10"/>
        <v/>
      </c>
      <c r="AK31" s="21" t="str">
        <f t="shared" si="11"/>
        <v/>
      </c>
      <c r="AL31" s="21" t="str">
        <f t="shared" si="11"/>
        <v/>
      </c>
      <c r="AM31" s="21" t="str">
        <f t="shared" si="11"/>
        <v/>
      </c>
      <c r="AN31" s="21" t="str">
        <f t="shared" si="11"/>
        <v/>
      </c>
      <c r="AO31" s="21" t="str">
        <f t="shared" si="11"/>
        <v/>
      </c>
      <c r="AP31" s="21" t="str">
        <f t="shared" si="11"/>
        <v/>
      </c>
      <c r="AQ31" s="21" t="str">
        <f t="shared" si="11"/>
        <v/>
      </c>
      <c r="AR31" s="21" t="str">
        <f t="shared" si="11"/>
        <v/>
      </c>
      <c r="AS31" s="21" t="str">
        <f t="shared" si="11"/>
        <v/>
      </c>
      <c r="AT31" s="21" t="str">
        <f t="shared" si="11"/>
        <v/>
      </c>
      <c r="AU31" s="21" t="str">
        <f t="shared" si="11"/>
        <v/>
      </c>
      <c r="AV31" s="21" t="str">
        <f t="shared" si="11"/>
        <v/>
      </c>
    </row>
    <row r="32" spans="1:48">
      <c r="A32" s="19" t="str">
        <f>Timeline!A40</f>
        <v>T27</v>
      </c>
      <c r="B32" s="20" t="str">
        <f>Timeline!B40</f>
        <v>2 Core research (M9-26)</v>
      </c>
      <c r="C32" s="20" t="str">
        <f>Timeline!C40</f>
        <v>Main analysis - part 2 / validation</v>
      </c>
      <c r="D32" s="19" t="str">
        <f>Timeline!D40</f>
        <v>Task</v>
      </c>
      <c r="E32" s="19">
        <f>Timeline!E40</f>
        <v>16</v>
      </c>
      <c r="F32" s="19">
        <f>Timeline!F40</f>
        <v>24</v>
      </c>
      <c r="G32" s="21" t="str">
        <f t="shared" si="8"/>
        <v/>
      </c>
      <c r="H32" s="21" t="str">
        <f t="shared" si="8"/>
        <v/>
      </c>
      <c r="I32" s="21" t="str">
        <f t="shared" si="8"/>
        <v/>
      </c>
      <c r="J32" s="21" t="str">
        <f t="shared" si="8"/>
        <v/>
      </c>
      <c r="K32" s="21" t="str">
        <f t="shared" si="8"/>
        <v/>
      </c>
      <c r="L32" s="21" t="str">
        <f t="shared" si="8"/>
        <v/>
      </c>
      <c r="M32" s="21" t="str">
        <f t="shared" si="8"/>
        <v/>
      </c>
      <c r="N32" s="21" t="str">
        <f t="shared" si="8"/>
        <v/>
      </c>
      <c r="O32" s="21" t="str">
        <f t="shared" si="8"/>
        <v/>
      </c>
      <c r="P32" s="21" t="str">
        <f t="shared" si="8"/>
        <v/>
      </c>
      <c r="Q32" s="21" t="str">
        <f t="shared" si="9"/>
        <v/>
      </c>
      <c r="R32" s="21" t="str">
        <f t="shared" si="9"/>
        <v/>
      </c>
      <c r="S32" s="21" t="str">
        <f t="shared" si="9"/>
        <v/>
      </c>
      <c r="T32" s="21" t="str">
        <f t="shared" si="9"/>
        <v/>
      </c>
      <c r="U32" s="21" t="str">
        <f t="shared" si="9"/>
        <v/>
      </c>
      <c r="V32" s="21">
        <f t="shared" si="9"/>
        <v>1</v>
      </c>
      <c r="W32" s="21">
        <f t="shared" si="9"/>
        <v>1</v>
      </c>
      <c r="X32" s="21">
        <f t="shared" si="9"/>
        <v>1</v>
      </c>
      <c r="Y32" s="21">
        <f t="shared" si="9"/>
        <v>1</v>
      </c>
      <c r="Z32" s="21">
        <f t="shared" si="9"/>
        <v>1</v>
      </c>
      <c r="AA32" s="21">
        <f t="shared" si="10"/>
        <v>1</v>
      </c>
      <c r="AB32" s="21">
        <f t="shared" si="10"/>
        <v>1</v>
      </c>
      <c r="AC32" s="21">
        <f t="shared" si="10"/>
        <v>1</v>
      </c>
      <c r="AD32" s="21">
        <f t="shared" si="10"/>
        <v>1</v>
      </c>
      <c r="AE32" s="21" t="str">
        <f t="shared" si="10"/>
        <v/>
      </c>
      <c r="AF32" s="21" t="str">
        <f t="shared" si="10"/>
        <v/>
      </c>
      <c r="AG32" s="21" t="str">
        <f t="shared" si="10"/>
        <v/>
      </c>
      <c r="AH32" s="21" t="str">
        <f t="shared" si="10"/>
        <v/>
      </c>
      <c r="AI32" s="21" t="str">
        <f t="shared" si="10"/>
        <v/>
      </c>
      <c r="AJ32" s="21" t="str">
        <f t="shared" si="10"/>
        <v/>
      </c>
      <c r="AK32" s="21" t="str">
        <f t="shared" si="11"/>
        <v/>
      </c>
      <c r="AL32" s="21" t="str">
        <f t="shared" si="11"/>
        <v/>
      </c>
      <c r="AM32" s="21" t="str">
        <f t="shared" si="11"/>
        <v/>
      </c>
      <c r="AN32" s="21" t="str">
        <f t="shared" si="11"/>
        <v/>
      </c>
      <c r="AO32" s="21" t="str">
        <f t="shared" si="11"/>
        <v/>
      </c>
      <c r="AP32" s="21" t="str">
        <f t="shared" si="11"/>
        <v/>
      </c>
      <c r="AQ32" s="21" t="str">
        <f t="shared" si="11"/>
        <v/>
      </c>
      <c r="AR32" s="21" t="str">
        <f t="shared" si="11"/>
        <v/>
      </c>
      <c r="AS32" s="21" t="str">
        <f t="shared" si="11"/>
        <v/>
      </c>
      <c r="AT32" s="21" t="str">
        <f t="shared" si="11"/>
        <v/>
      </c>
      <c r="AU32" s="21" t="str">
        <f t="shared" si="11"/>
        <v/>
      </c>
      <c r="AV32" s="21" t="str">
        <f t="shared" si="11"/>
        <v/>
      </c>
    </row>
    <row r="33" spans="1:48">
      <c r="A33" s="19" t="str">
        <f>Timeline!A41</f>
        <v>T28</v>
      </c>
      <c r="B33" s="20" t="str">
        <f>Timeline!B41</f>
        <v>2 Core research (M9-26)</v>
      </c>
      <c r="C33" s="20" t="str">
        <f>Timeline!C41</f>
        <v>Conference presentation (travel support up to $5k via AD(HDR); RSES grant deadline 15 March)</v>
      </c>
      <c r="D33" s="19" t="str">
        <f>Timeline!D41</f>
        <v>Task</v>
      </c>
      <c r="E33" s="19">
        <f>Timeline!E41</f>
        <v>15</v>
      </c>
      <c r="F33" s="19">
        <f>Timeline!F41</f>
        <v>20</v>
      </c>
      <c r="G33" s="21" t="str">
        <f t="shared" si="8"/>
        <v/>
      </c>
      <c r="H33" s="21" t="str">
        <f t="shared" si="8"/>
        <v/>
      </c>
      <c r="I33" s="21" t="str">
        <f t="shared" si="8"/>
        <v/>
      </c>
      <c r="J33" s="21" t="str">
        <f t="shared" si="8"/>
        <v/>
      </c>
      <c r="K33" s="21" t="str">
        <f t="shared" si="8"/>
        <v/>
      </c>
      <c r="L33" s="21" t="str">
        <f t="shared" si="8"/>
        <v/>
      </c>
      <c r="M33" s="21" t="str">
        <f t="shared" si="8"/>
        <v/>
      </c>
      <c r="N33" s="21" t="str">
        <f t="shared" si="8"/>
        <v/>
      </c>
      <c r="O33" s="21" t="str">
        <f t="shared" si="8"/>
        <v/>
      </c>
      <c r="P33" s="21" t="str">
        <f t="shared" si="8"/>
        <v/>
      </c>
      <c r="Q33" s="21" t="str">
        <f t="shared" si="9"/>
        <v/>
      </c>
      <c r="R33" s="21" t="str">
        <f t="shared" si="9"/>
        <v/>
      </c>
      <c r="S33" s="21" t="str">
        <f t="shared" si="9"/>
        <v/>
      </c>
      <c r="T33" s="21" t="str">
        <f t="shared" si="9"/>
        <v/>
      </c>
      <c r="U33" s="21">
        <f t="shared" si="9"/>
        <v>1</v>
      </c>
      <c r="V33" s="21">
        <f t="shared" si="9"/>
        <v>1</v>
      </c>
      <c r="W33" s="21">
        <f t="shared" si="9"/>
        <v>1</v>
      </c>
      <c r="X33" s="21">
        <f t="shared" si="9"/>
        <v>1</v>
      </c>
      <c r="Y33" s="21">
        <f t="shared" si="9"/>
        <v>1</v>
      </c>
      <c r="Z33" s="21">
        <f t="shared" si="9"/>
        <v>1</v>
      </c>
      <c r="AA33" s="21" t="str">
        <f t="shared" si="10"/>
        <v/>
      </c>
      <c r="AB33" s="21" t="str">
        <f t="shared" si="10"/>
        <v/>
      </c>
      <c r="AC33" s="21" t="str">
        <f t="shared" si="10"/>
        <v/>
      </c>
      <c r="AD33" s="21" t="str">
        <f t="shared" si="10"/>
        <v/>
      </c>
      <c r="AE33" s="21" t="str">
        <f t="shared" si="10"/>
        <v/>
      </c>
      <c r="AF33" s="21" t="str">
        <f t="shared" si="10"/>
        <v/>
      </c>
      <c r="AG33" s="21" t="str">
        <f t="shared" si="10"/>
        <v/>
      </c>
      <c r="AH33" s="21" t="str">
        <f t="shared" si="10"/>
        <v/>
      </c>
      <c r="AI33" s="21" t="str">
        <f t="shared" si="10"/>
        <v/>
      </c>
      <c r="AJ33" s="21" t="str">
        <f t="shared" si="10"/>
        <v/>
      </c>
      <c r="AK33" s="21" t="str">
        <f t="shared" si="11"/>
        <v/>
      </c>
      <c r="AL33" s="21" t="str">
        <f t="shared" si="11"/>
        <v/>
      </c>
      <c r="AM33" s="21" t="str">
        <f t="shared" si="11"/>
        <v/>
      </c>
      <c r="AN33" s="21" t="str">
        <f t="shared" si="11"/>
        <v/>
      </c>
      <c r="AO33" s="21" t="str">
        <f t="shared" si="11"/>
        <v/>
      </c>
      <c r="AP33" s="21" t="str">
        <f t="shared" si="11"/>
        <v/>
      </c>
      <c r="AQ33" s="21" t="str">
        <f t="shared" si="11"/>
        <v/>
      </c>
      <c r="AR33" s="21" t="str">
        <f t="shared" si="11"/>
        <v/>
      </c>
      <c r="AS33" s="21" t="str">
        <f t="shared" si="11"/>
        <v/>
      </c>
      <c r="AT33" s="21" t="str">
        <f t="shared" si="11"/>
        <v/>
      </c>
      <c r="AU33" s="21" t="str">
        <f t="shared" si="11"/>
        <v/>
      </c>
      <c r="AV33" s="21" t="str">
        <f t="shared" si="11"/>
        <v/>
      </c>
    </row>
    <row r="34" spans="1:48">
      <c r="A34" s="19" t="str">
        <f>Timeline!A42</f>
        <v>T29</v>
      </c>
      <c r="B34" s="20" t="str">
        <f>Timeline!B42</f>
        <v>2 Core research (M9-26)</v>
      </c>
      <c r="C34" s="20" t="str">
        <f>Timeline!C42</f>
        <v>Paper 2: draft, submit to journal</v>
      </c>
      <c r="D34" s="19" t="str">
        <f>Timeline!D42</f>
        <v>Task</v>
      </c>
      <c r="E34" s="19">
        <f>Timeline!E42</f>
        <v>18</v>
      </c>
      <c r="F34" s="19">
        <f>Timeline!F42</f>
        <v>26</v>
      </c>
      <c r="G34" s="21" t="str">
        <f t="shared" si="8"/>
        <v/>
      </c>
      <c r="H34" s="21" t="str">
        <f t="shared" si="8"/>
        <v/>
      </c>
      <c r="I34" s="21" t="str">
        <f t="shared" si="8"/>
        <v/>
      </c>
      <c r="J34" s="21" t="str">
        <f t="shared" si="8"/>
        <v/>
      </c>
      <c r="K34" s="21" t="str">
        <f t="shared" si="8"/>
        <v/>
      </c>
      <c r="L34" s="21" t="str">
        <f t="shared" si="8"/>
        <v/>
      </c>
      <c r="M34" s="21" t="str">
        <f t="shared" si="8"/>
        <v/>
      </c>
      <c r="N34" s="21" t="str">
        <f t="shared" si="8"/>
        <v/>
      </c>
      <c r="O34" s="21" t="str">
        <f t="shared" si="8"/>
        <v/>
      </c>
      <c r="P34" s="21" t="str">
        <f t="shared" si="8"/>
        <v/>
      </c>
      <c r="Q34" s="21" t="str">
        <f t="shared" si="9"/>
        <v/>
      </c>
      <c r="R34" s="21" t="str">
        <f t="shared" si="9"/>
        <v/>
      </c>
      <c r="S34" s="21" t="str">
        <f t="shared" si="9"/>
        <v/>
      </c>
      <c r="T34" s="21" t="str">
        <f t="shared" si="9"/>
        <v/>
      </c>
      <c r="U34" s="21" t="str">
        <f t="shared" si="9"/>
        <v/>
      </c>
      <c r="V34" s="21" t="str">
        <f t="shared" si="9"/>
        <v/>
      </c>
      <c r="W34" s="21" t="str">
        <f t="shared" si="9"/>
        <v/>
      </c>
      <c r="X34" s="21">
        <f t="shared" si="9"/>
        <v>1</v>
      </c>
      <c r="Y34" s="21">
        <f t="shared" si="9"/>
        <v>1</v>
      </c>
      <c r="Z34" s="21">
        <f t="shared" si="9"/>
        <v>1</v>
      </c>
      <c r="AA34" s="21">
        <f t="shared" si="10"/>
        <v>1</v>
      </c>
      <c r="AB34" s="21">
        <f t="shared" si="10"/>
        <v>1</v>
      </c>
      <c r="AC34" s="21">
        <f t="shared" si="10"/>
        <v>1</v>
      </c>
      <c r="AD34" s="21">
        <f t="shared" si="10"/>
        <v>1</v>
      </c>
      <c r="AE34" s="21">
        <f t="shared" si="10"/>
        <v>1</v>
      </c>
      <c r="AF34" s="21">
        <f t="shared" si="10"/>
        <v>1</v>
      </c>
      <c r="AG34" s="21" t="str">
        <f t="shared" si="10"/>
        <v/>
      </c>
      <c r="AH34" s="21" t="str">
        <f t="shared" si="10"/>
        <v/>
      </c>
      <c r="AI34" s="21" t="str">
        <f t="shared" si="10"/>
        <v/>
      </c>
      <c r="AJ34" s="21" t="str">
        <f t="shared" si="10"/>
        <v/>
      </c>
      <c r="AK34" s="21" t="str">
        <f t="shared" si="11"/>
        <v/>
      </c>
      <c r="AL34" s="21" t="str">
        <f t="shared" si="11"/>
        <v/>
      </c>
      <c r="AM34" s="21" t="str">
        <f t="shared" si="11"/>
        <v/>
      </c>
      <c r="AN34" s="21" t="str">
        <f t="shared" si="11"/>
        <v/>
      </c>
      <c r="AO34" s="21" t="str">
        <f t="shared" si="11"/>
        <v/>
      </c>
      <c r="AP34" s="21" t="str">
        <f t="shared" si="11"/>
        <v/>
      </c>
      <c r="AQ34" s="21" t="str">
        <f t="shared" si="11"/>
        <v/>
      </c>
      <c r="AR34" s="21" t="str">
        <f t="shared" si="11"/>
        <v/>
      </c>
      <c r="AS34" s="21" t="str">
        <f t="shared" si="11"/>
        <v/>
      </c>
      <c r="AT34" s="21" t="str">
        <f t="shared" si="11"/>
        <v/>
      </c>
      <c r="AU34" s="21" t="str">
        <f t="shared" si="11"/>
        <v/>
      </c>
      <c r="AV34" s="21" t="str">
        <f t="shared" si="11"/>
        <v/>
      </c>
    </row>
    <row r="35" spans="1:48">
      <c r="A35" s="19" t="str">
        <f>Timeline!A43</f>
        <v>T30</v>
      </c>
      <c r="B35" s="20" t="str">
        <f>Timeline!B43</f>
        <v>2 Core research (M9-26)</v>
      </c>
      <c r="C35" s="20" t="str">
        <f>Timeline!C43</f>
        <v>Year 3 Annual Report / Plan</v>
      </c>
      <c r="D35" s="19" t="str">
        <f>Timeline!D43</f>
        <v>Milestone</v>
      </c>
      <c r="E35" s="19">
        <f>Timeline!E43</f>
        <v>24</v>
      </c>
      <c r="F35" s="19">
        <f>Timeline!F43</f>
        <v>24</v>
      </c>
      <c r="G35" s="21" t="str">
        <f t="shared" si="8"/>
        <v/>
      </c>
      <c r="H35" s="21" t="str">
        <f t="shared" si="8"/>
        <v/>
      </c>
      <c r="I35" s="21" t="str">
        <f t="shared" si="8"/>
        <v/>
      </c>
      <c r="J35" s="21" t="str">
        <f t="shared" si="8"/>
        <v/>
      </c>
      <c r="K35" s="21" t="str">
        <f t="shared" si="8"/>
        <v/>
      </c>
      <c r="L35" s="21" t="str">
        <f t="shared" si="8"/>
        <v/>
      </c>
      <c r="M35" s="21" t="str">
        <f t="shared" si="8"/>
        <v/>
      </c>
      <c r="N35" s="21" t="str">
        <f t="shared" si="8"/>
        <v/>
      </c>
      <c r="O35" s="21" t="str">
        <f t="shared" si="8"/>
        <v/>
      </c>
      <c r="P35" s="21" t="str">
        <f t="shared" si="8"/>
        <v/>
      </c>
      <c r="Q35" s="21" t="str">
        <f t="shared" si="9"/>
        <v/>
      </c>
      <c r="R35" s="21" t="str">
        <f t="shared" si="9"/>
        <v/>
      </c>
      <c r="S35" s="21" t="str">
        <f t="shared" si="9"/>
        <v/>
      </c>
      <c r="T35" s="21" t="str">
        <f t="shared" si="9"/>
        <v/>
      </c>
      <c r="U35" s="21" t="str">
        <f t="shared" si="9"/>
        <v/>
      </c>
      <c r="V35" s="21" t="str">
        <f t="shared" si="9"/>
        <v/>
      </c>
      <c r="W35" s="21" t="str">
        <f t="shared" si="9"/>
        <v/>
      </c>
      <c r="X35" s="21" t="str">
        <f t="shared" si="9"/>
        <v/>
      </c>
      <c r="Y35" s="21" t="str">
        <f t="shared" si="9"/>
        <v/>
      </c>
      <c r="Z35" s="21" t="str">
        <f t="shared" si="9"/>
        <v/>
      </c>
      <c r="AA35" s="21" t="str">
        <f t="shared" si="10"/>
        <v/>
      </c>
      <c r="AB35" s="21" t="str">
        <f t="shared" si="10"/>
        <v/>
      </c>
      <c r="AC35" s="21" t="str">
        <f t="shared" si="10"/>
        <v/>
      </c>
      <c r="AD35" s="21">
        <f t="shared" si="10"/>
        <v>1</v>
      </c>
      <c r="AE35" s="21" t="str">
        <f t="shared" si="10"/>
        <v/>
      </c>
      <c r="AF35" s="21" t="str">
        <f t="shared" si="10"/>
        <v/>
      </c>
      <c r="AG35" s="21" t="str">
        <f t="shared" si="10"/>
        <v/>
      </c>
      <c r="AH35" s="21" t="str">
        <f t="shared" si="10"/>
        <v/>
      </c>
      <c r="AI35" s="21" t="str">
        <f t="shared" si="10"/>
        <v/>
      </c>
      <c r="AJ35" s="21" t="str">
        <f t="shared" si="10"/>
        <v/>
      </c>
      <c r="AK35" s="21" t="str">
        <f t="shared" si="11"/>
        <v/>
      </c>
      <c r="AL35" s="21" t="str">
        <f t="shared" si="11"/>
        <v/>
      </c>
      <c r="AM35" s="21" t="str">
        <f t="shared" si="11"/>
        <v/>
      </c>
      <c r="AN35" s="21" t="str">
        <f t="shared" si="11"/>
        <v/>
      </c>
      <c r="AO35" s="21" t="str">
        <f t="shared" si="11"/>
        <v/>
      </c>
      <c r="AP35" s="21" t="str">
        <f t="shared" si="11"/>
        <v/>
      </c>
      <c r="AQ35" s="21" t="str">
        <f t="shared" si="11"/>
        <v/>
      </c>
      <c r="AR35" s="21" t="str">
        <f t="shared" si="11"/>
        <v/>
      </c>
      <c r="AS35" s="21" t="str">
        <f t="shared" si="11"/>
        <v/>
      </c>
      <c r="AT35" s="21" t="str">
        <f t="shared" si="11"/>
        <v/>
      </c>
      <c r="AU35" s="21" t="str">
        <f t="shared" si="11"/>
        <v/>
      </c>
      <c r="AV35" s="21" t="str">
        <f t="shared" si="11"/>
        <v/>
      </c>
    </row>
    <row r="36" spans="1:48">
      <c r="A36" s="19" t="str">
        <f>Timeline!A44</f>
        <v>T31</v>
      </c>
      <c r="B36" s="20" t="str">
        <f>Timeline!B44</f>
        <v>3 Writing &amp; submission (M18-36)</v>
      </c>
      <c r="C36" s="20" t="str">
        <f>Timeline!C44</f>
        <v>Thesis outline &amp; chapter plan agreed with supervisors</v>
      </c>
      <c r="D36" s="19" t="str">
        <f>Timeline!D44</f>
        <v>Task</v>
      </c>
      <c r="E36" s="19">
        <f>Timeline!E44</f>
        <v>18</v>
      </c>
      <c r="F36" s="19">
        <f>Timeline!F44</f>
        <v>19</v>
      </c>
      <c r="G36" s="21" t="str">
        <f t="shared" ref="G36:P49" si="12">IF(AND(G$4&gt;=$E36,G$4&lt;=$F36),1,"")</f>
        <v/>
      </c>
      <c r="H36" s="21" t="str">
        <f t="shared" si="12"/>
        <v/>
      </c>
      <c r="I36" s="21" t="str">
        <f t="shared" si="12"/>
        <v/>
      </c>
      <c r="J36" s="21" t="str">
        <f t="shared" si="12"/>
        <v/>
      </c>
      <c r="K36" s="21" t="str">
        <f t="shared" si="12"/>
        <v/>
      </c>
      <c r="L36" s="21" t="str">
        <f t="shared" si="12"/>
        <v/>
      </c>
      <c r="M36" s="21" t="str">
        <f t="shared" si="12"/>
        <v/>
      </c>
      <c r="N36" s="21" t="str">
        <f t="shared" si="12"/>
        <v/>
      </c>
      <c r="O36" s="21" t="str">
        <f t="shared" si="12"/>
        <v/>
      </c>
      <c r="P36" s="21" t="str">
        <f t="shared" si="12"/>
        <v/>
      </c>
      <c r="Q36" s="21" t="str">
        <f t="shared" ref="Q36:Z49" si="13">IF(AND(Q$4&gt;=$E36,Q$4&lt;=$F36),1,"")</f>
        <v/>
      </c>
      <c r="R36" s="21" t="str">
        <f t="shared" si="13"/>
        <v/>
      </c>
      <c r="S36" s="21" t="str">
        <f t="shared" si="13"/>
        <v/>
      </c>
      <c r="T36" s="21" t="str">
        <f t="shared" si="13"/>
        <v/>
      </c>
      <c r="U36" s="21" t="str">
        <f t="shared" si="13"/>
        <v/>
      </c>
      <c r="V36" s="21" t="str">
        <f t="shared" si="13"/>
        <v/>
      </c>
      <c r="W36" s="21" t="str">
        <f t="shared" si="13"/>
        <v/>
      </c>
      <c r="X36" s="21">
        <f t="shared" si="13"/>
        <v>1</v>
      </c>
      <c r="Y36" s="21">
        <f t="shared" si="13"/>
        <v>1</v>
      </c>
      <c r="Z36" s="21" t="str">
        <f t="shared" si="13"/>
        <v/>
      </c>
      <c r="AA36" s="21" t="str">
        <f t="shared" ref="AA36:AJ49" si="14">IF(AND(AA$4&gt;=$E36,AA$4&lt;=$F36),1,"")</f>
        <v/>
      </c>
      <c r="AB36" s="21" t="str">
        <f t="shared" si="14"/>
        <v/>
      </c>
      <c r="AC36" s="21" t="str">
        <f t="shared" si="14"/>
        <v/>
      </c>
      <c r="AD36" s="21" t="str">
        <f t="shared" si="14"/>
        <v/>
      </c>
      <c r="AE36" s="21" t="str">
        <f t="shared" si="14"/>
        <v/>
      </c>
      <c r="AF36" s="21" t="str">
        <f t="shared" si="14"/>
        <v/>
      </c>
      <c r="AG36" s="21" t="str">
        <f t="shared" si="14"/>
        <v/>
      </c>
      <c r="AH36" s="21" t="str">
        <f t="shared" si="14"/>
        <v/>
      </c>
      <c r="AI36" s="21" t="str">
        <f t="shared" si="14"/>
        <v/>
      </c>
      <c r="AJ36" s="21" t="str">
        <f t="shared" si="14"/>
        <v/>
      </c>
      <c r="AK36" s="21" t="str">
        <f t="shared" ref="AK36:AV49" si="15">IF(AND(AK$4&gt;=$E36,AK$4&lt;=$F36),1,"")</f>
        <v/>
      </c>
      <c r="AL36" s="21" t="str">
        <f t="shared" si="15"/>
        <v/>
      </c>
      <c r="AM36" s="21" t="str">
        <f t="shared" si="15"/>
        <v/>
      </c>
      <c r="AN36" s="21" t="str">
        <f t="shared" si="15"/>
        <v/>
      </c>
      <c r="AO36" s="21" t="str">
        <f t="shared" si="15"/>
        <v/>
      </c>
      <c r="AP36" s="21" t="str">
        <f t="shared" si="15"/>
        <v/>
      </c>
      <c r="AQ36" s="21" t="str">
        <f t="shared" si="15"/>
        <v/>
      </c>
      <c r="AR36" s="21" t="str">
        <f t="shared" si="15"/>
        <v/>
      </c>
      <c r="AS36" s="21" t="str">
        <f t="shared" si="15"/>
        <v/>
      </c>
      <c r="AT36" s="21" t="str">
        <f t="shared" si="15"/>
        <v/>
      </c>
      <c r="AU36" s="21" t="str">
        <f t="shared" si="15"/>
        <v/>
      </c>
      <c r="AV36" s="21" t="str">
        <f t="shared" si="15"/>
        <v/>
      </c>
    </row>
    <row r="37" spans="1:48">
      <c r="A37" s="19" t="str">
        <f>Timeline!A45</f>
        <v>T32</v>
      </c>
      <c r="B37" s="20" t="str">
        <f>Timeline!B45</f>
        <v>3 Writing &amp; submission (M18-36)</v>
      </c>
      <c r="C37" s="20" t="str">
        <f>Timeline!C45</f>
        <v>Write background &amp; methods chapters (reuse CoC proposal)</v>
      </c>
      <c r="D37" s="19" t="str">
        <f>Timeline!D45</f>
        <v>Task</v>
      </c>
      <c r="E37" s="19">
        <f>Timeline!E45</f>
        <v>19</v>
      </c>
      <c r="F37" s="19">
        <f>Timeline!F45</f>
        <v>24</v>
      </c>
      <c r="G37" s="21" t="str">
        <f t="shared" si="12"/>
        <v/>
      </c>
      <c r="H37" s="21" t="str">
        <f t="shared" si="12"/>
        <v/>
      </c>
      <c r="I37" s="21" t="str">
        <f t="shared" si="12"/>
        <v/>
      </c>
      <c r="J37" s="21" t="str">
        <f t="shared" si="12"/>
        <v/>
      </c>
      <c r="K37" s="21" t="str">
        <f t="shared" si="12"/>
        <v/>
      </c>
      <c r="L37" s="21" t="str">
        <f t="shared" si="12"/>
        <v/>
      </c>
      <c r="M37" s="21" t="str">
        <f t="shared" si="12"/>
        <v/>
      </c>
      <c r="N37" s="21" t="str">
        <f t="shared" si="12"/>
        <v/>
      </c>
      <c r="O37" s="21" t="str">
        <f t="shared" si="12"/>
        <v/>
      </c>
      <c r="P37" s="21" t="str">
        <f t="shared" si="12"/>
        <v/>
      </c>
      <c r="Q37" s="21" t="str">
        <f t="shared" si="13"/>
        <v/>
      </c>
      <c r="R37" s="21" t="str">
        <f t="shared" si="13"/>
        <v/>
      </c>
      <c r="S37" s="21" t="str">
        <f t="shared" si="13"/>
        <v/>
      </c>
      <c r="T37" s="21" t="str">
        <f t="shared" si="13"/>
        <v/>
      </c>
      <c r="U37" s="21" t="str">
        <f t="shared" si="13"/>
        <v/>
      </c>
      <c r="V37" s="21" t="str">
        <f t="shared" si="13"/>
        <v/>
      </c>
      <c r="W37" s="21" t="str">
        <f t="shared" si="13"/>
        <v/>
      </c>
      <c r="X37" s="21" t="str">
        <f t="shared" si="13"/>
        <v/>
      </c>
      <c r="Y37" s="21">
        <f t="shared" si="13"/>
        <v>1</v>
      </c>
      <c r="Z37" s="21">
        <f t="shared" si="13"/>
        <v>1</v>
      </c>
      <c r="AA37" s="21">
        <f t="shared" si="14"/>
        <v>1</v>
      </c>
      <c r="AB37" s="21">
        <f t="shared" si="14"/>
        <v>1</v>
      </c>
      <c r="AC37" s="21">
        <f t="shared" si="14"/>
        <v>1</v>
      </c>
      <c r="AD37" s="21">
        <f t="shared" si="14"/>
        <v>1</v>
      </c>
      <c r="AE37" s="21" t="str">
        <f t="shared" si="14"/>
        <v/>
      </c>
      <c r="AF37" s="21" t="str">
        <f t="shared" si="14"/>
        <v/>
      </c>
      <c r="AG37" s="21" t="str">
        <f t="shared" si="14"/>
        <v/>
      </c>
      <c r="AH37" s="21" t="str">
        <f t="shared" si="14"/>
        <v/>
      </c>
      <c r="AI37" s="21" t="str">
        <f t="shared" si="14"/>
        <v/>
      </c>
      <c r="AJ37" s="21" t="str">
        <f t="shared" si="14"/>
        <v/>
      </c>
      <c r="AK37" s="21" t="str">
        <f t="shared" si="15"/>
        <v/>
      </c>
      <c r="AL37" s="21" t="str">
        <f t="shared" si="15"/>
        <v/>
      </c>
      <c r="AM37" s="21" t="str">
        <f t="shared" si="15"/>
        <v/>
      </c>
      <c r="AN37" s="21" t="str">
        <f t="shared" si="15"/>
        <v/>
      </c>
      <c r="AO37" s="21" t="str">
        <f t="shared" si="15"/>
        <v/>
      </c>
      <c r="AP37" s="21" t="str">
        <f t="shared" si="15"/>
        <v/>
      </c>
      <c r="AQ37" s="21" t="str">
        <f t="shared" si="15"/>
        <v/>
      </c>
      <c r="AR37" s="21" t="str">
        <f t="shared" si="15"/>
        <v/>
      </c>
      <c r="AS37" s="21" t="str">
        <f t="shared" si="15"/>
        <v/>
      </c>
      <c r="AT37" s="21" t="str">
        <f t="shared" si="15"/>
        <v/>
      </c>
      <c r="AU37" s="21" t="str">
        <f t="shared" si="15"/>
        <v/>
      </c>
      <c r="AV37" s="21" t="str">
        <f t="shared" si="15"/>
        <v/>
      </c>
    </row>
    <row r="38" spans="1:48">
      <c r="A38" s="19" t="str">
        <f>Timeline!A46</f>
        <v>T33</v>
      </c>
      <c r="B38" s="20" t="str">
        <f>Timeline!B46</f>
        <v>3 Writing &amp; submission (M18-36)</v>
      </c>
      <c r="C38" s="20" t="str">
        <f>Timeline!C46</f>
        <v>Write results chapters (reuse papers)</v>
      </c>
      <c r="D38" s="19" t="str">
        <f>Timeline!D46</f>
        <v>Task</v>
      </c>
      <c r="E38" s="19">
        <f>Timeline!E46</f>
        <v>24</v>
      </c>
      <c r="F38" s="19">
        <f>Timeline!F46</f>
        <v>30</v>
      </c>
      <c r="G38" s="21" t="str">
        <f t="shared" si="12"/>
        <v/>
      </c>
      <c r="H38" s="21" t="str">
        <f t="shared" si="12"/>
        <v/>
      </c>
      <c r="I38" s="21" t="str">
        <f t="shared" si="12"/>
        <v/>
      </c>
      <c r="J38" s="21" t="str">
        <f t="shared" si="12"/>
        <v/>
      </c>
      <c r="K38" s="21" t="str">
        <f t="shared" si="12"/>
        <v/>
      </c>
      <c r="L38" s="21" t="str">
        <f t="shared" si="12"/>
        <v/>
      </c>
      <c r="M38" s="21" t="str">
        <f t="shared" si="12"/>
        <v/>
      </c>
      <c r="N38" s="21" t="str">
        <f t="shared" si="12"/>
        <v/>
      </c>
      <c r="O38" s="21" t="str">
        <f t="shared" si="12"/>
        <v/>
      </c>
      <c r="P38" s="21" t="str">
        <f t="shared" si="12"/>
        <v/>
      </c>
      <c r="Q38" s="21" t="str">
        <f t="shared" si="13"/>
        <v/>
      </c>
      <c r="R38" s="21" t="str">
        <f t="shared" si="13"/>
        <v/>
      </c>
      <c r="S38" s="21" t="str">
        <f t="shared" si="13"/>
        <v/>
      </c>
      <c r="T38" s="21" t="str">
        <f t="shared" si="13"/>
        <v/>
      </c>
      <c r="U38" s="21" t="str">
        <f t="shared" si="13"/>
        <v/>
      </c>
      <c r="V38" s="21" t="str">
        <f t="shared" si="13"/>
        <v/>
      </c>
      <c r="W38" s="21" t="str">
        <f t="shared" si="13"/>
        <v/>
      </c>
      <c r="X38" s="21" t="str">
        <f t="shared" si="13"/>
        <v/>
      </c>
      <c r="Y38" s="21" t="str">
        <f t="shared" si="13"/>
        <v/>
      </c>
      <c r="Z38" s="21" t="str">
        <f t="shared" si="13"/>
        <v/>
      </c>
      <c r="AA38" s="21" t="str">
        <f t="shared" si="14"/>
        <v/>
      </c>
      <c r="AB38" s="21" t="str">
        <f t="shared" si="14"/>
        <v/>
      </c>
      <c r="AC38" s="21" t="str">
        <f t="shared" si="14"/>
        <v/>
      </c>
      <c r="AD38" s="21">
        <f t="shared" si="14"/>
        <v>1</v>
      </c>
      <c r="AE38" s="21">
        <f t="shared" si="14"/>
        <v>1</v>
      </c>
      <c r="AF38" s="21">
        <f t="shared" si="14"/>
        <v>1</v>
      </c>
      <c r="AG38" s="21">
        <f t="shared" si="14"/>
        <v>1</v>
      </c>
      <c r="AH38" s="21">
        <f t="shared" si="14"/>
        <v>1</v>
      </c>
      <c r="AI38" s="21">
        <f t="shared" si="14"/>
        <v>1</v>
      </c>
      <c r="AJ38" s="21">
        <f t="shared" si="14"/>
        <v>1</v>
      </c>
      <c r="AK38" s="21" t="str">
        <f t="shared" si="15"/>
        <v/>
      </c>
      <c r="AL38" s="21" t="str">
        <f t="shared" si="15"/>
        <v/>
      </c>
      <c r="AM38" s="21" t="str">
        <f t="shared" si="15"/>
        <v/>
      </c>
      <c r="AN38" s="21" t="str">
        <f t="shared" si="15"/>
        <v/>
      </c>
      <c r="AO38" s="21" t="str">
        <f t="shared" si="15"/>
        <v/>
      </c>
      <c r="AP38" s="21" t="str">
        <f t="shared" si="15"/>
        <v/>
      </c>
      <c r="AQ38" s="21" t="str">
        <f t="shared" si="15"/>
        <v/>
      </c>
      <c r="AR38" s="21" t="str">
        <f t="shared" si="15"/>
        <v/>
      </c>
      <c r="AS38" s="21" t="str">
        <f t="shared" si="15"/>
        <v/>
      </c>
      <c r="AT38" s="21" t="str">
        <f t="shared" si="15"/>
        <v/>
      </c>
      <c r="AU38" s="21" t="str">
        <f t="shared" si="15"/>
        <v/>
      </c>
      <c r="AV38" s="21" t="str">
        <f t="shared" si="15"/>
        <v/>
      </c>
    </row>
    <row r="39" spans="1:48">
      <c r="A39" s="19" t="str">
        <f>Timeline!A47</f>
        <v>T34</v>
      </c>
      <c r="B39" s="20" t="str">
        <f>Timeline!B47</f>
        <v>3 Writing &amp; submission (M18-36)</v>
      </c>
      <c r="C39" s="20" t="str">
        <f>Timeline!C47</f>
        <v>Write discussion, conclusions, introduction</v>
      </c>
      <c r="D39" s="19" t="str">
        <f>Timeline!D47</f>
        <v>Task</v>
      </c>
      <c r="E39" s="19">
        <f>Timeline!E47</f>
        <v>28</v>
      </c>
      <c r="F39" s="19">
        <f>Timeline!F47</f>
        <v>31</v>
      </c>
      <c r="G39" s="21" t="str">
        <f t="shared" si="12"/>
        <v/>
      </c>
      <c r="H39" s="21" t="str">
        <f t="shared" si="12"/>
        <v/>
      </c>
      <c r="I39" s="21" t="str">
        <f t="shared" si="12"/>
        <v/>
      </c>
      <c r="J39" s="21" t="str">
        <f t="shared" si="12"/>
        <v/>
      </c>
      <c r="K39" s="21" t="str">
        <f t="shared" si="12"/>
        <v/>
      </c>
      <c r="L39" s="21" t="str">
        <f t="shared" si="12"/>
        <v/>
      </c>
      <c r="M39" s="21" t="str">
        <f t="shared" si="12"/>
        <v/>
      </c>
      <c r="N39" s="21" t="str">
        <f t="shared" si="12"/>
        <v/>
      </c>
      <c r="O39" s="21" t="str">
        <f t="shared" si="12"/>
        <v/>
      </c>
      <c r="P39" s="21" t="str">
        <f t="shared" si="12"/>
        <v/>
      </c>
      <c r="Q39" s="21" t="str">
        <f t="shared" si="13"/>
        <v/>
      </c>
      <c r="R39" s="21" t="str">
        <f t="shared" si="13"/>
        <v/>
      </c>
      <c r="S39" s="21" t="str">
        <f t="shared" si="13"/>
        <v/>
      </c>
      <c r="T39" s="21" t="str">
        <f t="shared" si="13"/>
        <v/>
      </c>
      <c r="U39" s="21" t="str">
        <f t="shared" si="13"/>
        <v/>
      </c>
      <c r="V39" s="21" t="str">
        <f t="shared" si="13"/>
        <v/>
      </c>
      <c r="W39" s="21" t="str">
        <f t="shared" si="13"/>
        <v/>
      </c>
      <c r="X39" s="21" t="str">
        <f t="shared" si="13"/>
        <v/>
      </c>
      <c r="Y39" s="21" t="str">
        <f t="shared" si="13"/>
        <v/>
      </c>
      <c r="Z39" s="21" t="str">
        <f t="shared" si="13"/>
        <v/>
      </c>
      <c r="AA39" s="21" t="str">
        <f t="shared" si="14"/>
        <v/>
      </c>
      <c r="AB39" s="21" t="str">
        <f t="shared" si="14"/>
        <v/>
      </c>
      <c r="AC39" s="21" t="str">
        <f t="shared" si="14"/>
        <v/>
      </c>
      <c r="AD39" s="21" t="str">
        <f t="shared" si="14"/>
        <v/>
      </c>
      <c r="AE39" s="21" t="str">
        <f t="shared" si="14"/>
        <v/>
      </c>
      <c r="AF39" s="21" t="str">
        <f t="shared" si="14"/>
        <v/>
      </c>
      <c r="AG39" s="21" t="str">
        <f t="shared" si="14"/>
        <v/>
      </c>
      <c r="AH39" s="21">
        <f t="shared" si="14"/>
        <v>1</v>
      </c>
      <c r="AI39" s="21">
        <f t="shared" si="14"/>
        <v>1</v>
      </c>
      <c r="AJ39" s="21">
        <f t="shared" si="14"/>
        <v>1</v>
      </c>
      <c r="AK39" s="21">
        <f t="shared" si="15"/>
        <v>1</v>
      </c>
      <c r="AL39" s="21" t="str">
        <f t="shared" si="15"/>
        <v/>
      </c>
      <c r="AM39" s="21" t="str">
        <f t="shared" si="15"/>
        <v/>
      </c>
      <c r="AN39" s="21" t="str">
        <f t="shared" si="15"/>
        <v/>
      </c>
      <c r="AO39" s="21" t="str">
        <f t="shared" si="15"/>
        <v/>
      </c>
      <c r="AP39" s="21" t="str">
        <f t="shared" si="15"/>
        <v/>
      </c>
      <c r="AQ39" s="21" t="str">
        <f t="shared" si="15"/>
        <v/>
      </c>
      <c r="AR39" s="21" t="str">
        <f t="shared" si="15"/>
        <v/>
      </c>
      <c r="AS39" s="21" t="str">
        <f t="shared" si="15"/>
        <v/>
      </c>
      <c r="AT39" s="21" t="str">
        <f t="shared" si="15"/>
        <v/>
      </c>
      <c r="AU39" s="21" t="str">
        <f t="shared" si="15"/>
        <v/>
      </c>
      <c r="AV39" s="21" t="str">
        <f t="shared" si="15"/>
        <v/>
      </c>
    </row>
    <row r="40" spans="1:48">
      <c r="A40" s="19" t="str">
        <f>Timeline!A48</f>
        <v>T35</v>
      </c>
      <c r="B40" s="20" t="str">
        <f>Timeline!B48</f>
        <v>3 Writing &amp; submission (M18-36)</v>
      </c>
      <c r="C40" s="20" t="str">
        <f>Timeline!C48</f>
        <v>Final seminar to School (6 months before anticipated submission)</v>
      </c>
      <c r="D40" s="19" t="str">
        <f>Timeline!D48</f>
        <v>Milestone</v>
      </c>
      <c r="E40" s="19">
        <f>Timeline!E48</f>
        <v>30</v>
      </c>
      <c r="F40" s="19">
        <f>Timeline!F48</f>
        <v>30</v>
      </c>
      <c r="G40" s="21" t="str">
        <f t="shared" si="12"/>
        <v/>
      </c>
      <c r="H40" s="21" t="str">
        <f t="shared" si="12"/>
        <v/>
      </c>
      <c r="I40" s="21" t="str">
        <f t="shared" si="12"/>
        <v/>
      </c>
      <c r="J40" s="21" t="str">
        <f t="shared" si="12"/>
        <v/>
      </c>
      <c r="K40" s="21" t="str">
        <f t="shared" si="12"/>
        <v/>
      </c>
      <c r="L40" s="21" t="str">
        <f t="shared" si="12"/>
        <v/>
      </c>
      <c r="M40" s="21" t="str">
        <f t="shared" si="12"/>
        <v/>
      </c>
      <c r="N40" s="21" t="str">
        <f t="shared" si="12"/>
        <v/>
      </c>
      <c r="O40" s="21" t="str">
        <f t="shared" si="12"/>
        <v/>
      </c>
      <c r="P40" s="21" t="str">
        <f t="shared" si="12"/>
        <v/>
      </c>
      <c r="Q40" s="21" t="str">
        <f t="shared" si="13"/>
        <v/>
      </c>
      <c r="R40" s="21" t="str">
        <f t="shared" si="13"/>
        <v/>
      </c>
      <c r="S40" s="21" t="str">
        <f t="shared" si="13"/>
        <v/>
      </c>
      <c r="T40" s="21" t="str">
        <f t="shared" si="13"/>
        <v/>
      </c>
      <c r="U40" s="21" t="str">
        <f t="shared" si="13"/>
        <v/>
      </c>
      <c r="V40" s="21" t="str">
        <f t="shared" si="13"/>
        <v/>
      </c>
      <c r="W40" s="21" t="str">
        <f t="shared" si="13"/>
        <v/>
      </c>
      <c r="X40" s="21" t="str">
        <f t="shared" si="13"/>
        <v/>
      </c>
      <c r="Y40" s="21" t="str">
        <f t="shared" si="13"/>
        <v/>
      </c>
      <c r="Z40" s="21" t="str">
        <f t="shared" si="13"/>
        <v/>
      </c>
      <c r="AA40" s="21" t="str">
        <f t="shared" si="14"/>
        <v/>
      </c>
      <c r="AB40" s="21" t="str">
        <f t="shared" si="14"/>
        <v/>
      </c>
      <c r="AC40" s="21" t="str">
        <f t="shared" si="14"/>
        <v/>
      </c>
      <c r="AD40" s="21" t="str">
        <f t="shared" si="14"/>
        <v/>
      </c>
      <c r="AE40" s="21" t="str">
        <f t="shared" si="14"/>
        <v/>
      </c>
      <c r="AF40" s="21" t="str">
        <f t="shared" si="14"/>
        <v/>
      </c>
      <c r="AG40" s="21" t="str">
        <f t="shared" si="14"/>
        <v/>
      </c>
      <c r="AH40" s="21" t="str">
        <f t="shared" si="14"/>
        <v/>
      </c>
      <c r="AI40" s="21" t="str">
        <f t="shared" si="14"/>
        <v/>
      </c>
      <c r="AJ40" s="21">
        <f t="shared" si="14"/>
        <v>1</v>
      </c>
      <c r="AK40" s="21" t="str">
        <f t="shared" si="15"/>
        <v/>
      </c>
      <c r="AL40" s="21" t="str">
        <f t="shared" si="15"/>
        <v/>
      </c>
      <c r="AM40" s="21" t="str">
        <f t="shared" si="15"/>
        <v/>
      </c>
      <c r="AN40" s="21" t="str">
        <f t="shared" si="15"/>
        <v/>
      </c>
      <c r="AO40" s="21" t="str">
        <f t="shared" si="15"/>
        <v/>
      </c>
      <c r="AP40" s="21" t="str">
        <f t="shared" si="15"/>
        <v/>
      </c>
      <c r="AQ40" s="21" t="str">
        <f t="shared" si="15"/>
        <v/>
      </c>
      <c r="AR40" s="21" t="str">
        <f t="shared" si="15"/>
        <v/>
      </c>
      <c r="AS40" s="21" t="str">
        <f t="shared" si="15"/>
        <v/>
      </c>
      <c r="AT40" s="21" t="str">
        <f t="shared" si="15"/>
        <v/>
      </c>
      <c r="AU40" s="21" t="str">
        <f t="shared" si="15"/>
        <v/>
      </c>
      <c r="AV40" s="21" t="str">
        <f t="shared" si="15"/>
        <v/>
      </c>
    </row>
    <row r="41" spans="1:48">
      <c r="A41" s="19" t="str">
        <f>Timeline!A49</f>
        <v>T36</v>
      </c>
      <c r="B41" s="20" t="str">
        <f>Timeline!B49</f>
        <v>3 Writing &amp; submission (M18-36)</v>
      </c>
      <c r="C41" s="20" t="str">
        <f>Timeline!C49</f>
        <v>Full thesis draft to supervisors / panel</v>
      </c>
      <c r="D41" s="19" t="str">
        <f>Timeline!D49</f>
        <v>Milestone</v>
      </c>
      <c r="E41" s="19">
        <f>Timeline!E49</f>
        <v>31</v>
      </c>
      <c r="F41" s="19">
        <f>Timeline!F49</f>
        <v>31</v>
      </c>
      <c r="G41" s="21" t="str">
        <f t="shared" si="12"/>
        <v/>
      </c>
      <c r="H41" s="21" t="str">
        <f t="shared" si="12"/>
        <v/>
      </c>
      <c r="I41" s="21" t="str">
        <f t="shared" si="12"/>
        <v/>
      </c>
      <c r="J41" s="21" t="str">
        <f t="shared" si="12"/>
        <v/>
      </c>
      <c r="K41" s="21" t="str">
        <f t="shared" si="12"/>
        <v/>
      </c>
      <c r="L41" s="21" t="str">
        <f t="shared" si="12"/>
        <v/>
      </c>
      <c r="M41" s="21" t="str">
        <f t="shared" si="12"/>
        <v/>
      </c>
      <c r="N41" s="21" t="str">
        <f t="shared" si="12"/>
        <v/>
      </c>
      <c r="O41" s="21" t="str">
        <f t="shared" si="12"/>
        <v/>
      </c>
      <c r="P41" s="21" t="str">
        <f t="shared" si="12"/>
        <v/>
      </c>
      <c r="Q41" s="21" t="str">
        <f t="shared" si="13"/>
        <v/>
      </c>
      <c r="R41" s="21" t="str">
        <f t="shared" si="13"/>
        <v/>
      </c>
      <c r="S41" s="21" t="str">
        <f t="shared" si="13"/>
        <v/>
      </c>
      <c r="T41" s="21" t="str">
        <f t="shared" si="13"/>
        <v/>
      </c>
      <c r="U41" s="21" t="str">
        <f t="shared" si="13"/>
        <v/>
      </c>
      <c r="V41" s="21" t="str">
        <f t="shared" si="13"/>
        <v/>
      </c>
      <c r="W41" s="21" t="str">
        <f t="shared" si="13"/>
        <v/>
      </c>
      <c r="X41" s="21" t="str">
        <f t="shared" si="13"/>
        <v/>
      </c>
      <c r="Y41" s="21" t="str">
        <f t="shared" si="13"/>
        <v/>
      </c>
      <c r="Z41" s="21" t="str">
        <f t="shared" si="13"/>
        <v/>
      </c>
      <c r="AA41" s="21" t="str">
        <f t="shared" si="14"/>
        <v/>
      </c>
      <c r="AB41" s="21" t="str">
        <f t="shared" si="14"/>
        <v/>
      </c>
      <c r="AC41" s="21" t="str">
        <f t="shared" si="14"/>
        <v/>
      </c>
      <c r="AD41" s="21" t="str">
        <f t="shared" si="14"/>
        <v/>
      </c>
      <c r="AE41" s="21" t="str">
        <f t="shared" si="14"/>
        <v/>
      </c>
      <c r="AF41" s="21" t="str">
        <f t="shared" si="14"/>
        <v/>
      </c>
      <c r="AG41" s="21" t="str">
        <f t="shared" si="14"/>
        <v/>
      </c>
      <c r="AH41" s="21" t="str">
        <f t="shared" si="14"/>
        <v/>
      </c>
      <c r="AI41" s="21" t="str">
        <f t="shared" si="14"/>
        <v/>
      </c>
      <c r="AJ41" s="21" t="str">
        <f t="shared" si="14"/>
        <v/>
      </c>
      <c r="AK41" s="21">
        <f t="shared" si="15"/>
        <v>1</v>
      </c>
      <c r="AL41" s="21" t="str">
        <f t="shared" si="15"/>
        <v/>
      </c>
      <c r="AM41" s="21" t="str">
        <f t="shared" si="15"/>
        <v/>
      </c>
      <c r="AN41" s="21" t="str">
        <f t="shared" si="15"/>
        <v/>
      </c>
      <c r="AO41" s="21" t="str">
        <f t="shared" si="15"/>
        <v/>
      </c>
      <c r="AP41" s="21" t="str">
        <f t="shared" si="15"/>
        <v/>
      </c>
      <c r="AQ41" s="21" t="str">
        <f t="shared" si="15"/>
        <v/>
      </c>
      <c r="AR41" s="21" t="str">
        <f t="shared" si="15"/>
        <v/>
      </c>
      <c r="AS41" s="21" t="str">
        <f t="shared" si="15"/>
        <v/>
      </c>
      <c r="AT41" s="21" t="str">
        <f t="shared" si="15"/>
        <v/>
      </c>
      <c r="AU41" s="21" t="str">
        <f t="shared" si="15"/>
        <v/>
      </c>
      <c r="AV41" s="21" t="str">
        <f t="shared" si="15"/>
        <v/>
      </c>
    </row>
    <row r="42" spans="1:48">
      <c r="A42" s="19" t="str">
        <f>Timeline!A50</f>
        <v>T37</v>
      </c>
      <c r="B42" s="20" t="str">
        <f>Timeline!B50</f>
        <v>3 Writing &amp; submission (M18-36)</v>
      </c>
      <c r="C42" s="20" t="str">
        <f>Timeline!C50</f>
        <v>Revisions after supervisor feedback</v>
      </c>
      <c r="D42" s="19" t="str">
        <f>Timeline!D50</f>
        <v>Task</v>
      </c>
      <c r="E42" s="19">
        <f>Timeline!E50</f>
        <v>32</v>
      </c>
      <c r="F42" s="19">
        <f>Timeline!F50</f>
        <v>34</v>
      </c>
      <c r="G42" s="21" t="str">
        <f t="shared" si="12"/>
        <v/>
      </c>
      <c r="H42" s="21" t="str">
        <f t="shared" si="12"/>
        <v/>
      </c>
      <c r="I42" s="21" t="str">
        <f t="shared" si="12"/>
        <v/>
      </c>
      <c r="J42" s="21" t="str">
        <f t="shared" si="12"/>
        <v/>
      </c>
      <c r="K42" s="21" t="str">
        <f t="shared" si="12"/>
        <v/>
      </c>
      <c r="L42" s="21" t="str">
        <f t="shared" si="12"/>
        <v/>
      </c>
      <c r="M42" s="21" t="str">
        <f t="shared" si="12"/>
        <v/>
      </c>
      <c r="N42" s="21" t="str">
        <f t="shared" si="12"/>
        <v/>
      </c>
      <c r="O42" s="21" t="str">
        <f t="shared" si="12"/>
        <v/>
      </c>
      <c r="P42" s="21" t="str">
        <f t="shared" si="12"/>
        <v/>
      </c>
      <c r="Q42" s="21" t="str">
        <f t="shared" si="13"/>
        <v/>
      </c>
      <c r="R42" s="21" t="str">
        <f t="shared" si="13"/>
        <v/>
      </c>
      <c r="S42" s="21" t="str">
        <f t="shared" si="13"/>
        <v/>
      </c>
      <c r="T42" s="21" t="str">
        <f t="shared" si="13"/>
        <v/>
      </c>
      <c r="U42" s="21" t="str">
        <f t="shared" si="13"/>
        <v/>
      </c>
      <c r="V42" s="21" t="str">
        <f t="shared" si="13"/>
        <v/>
      </c>
      <c r="W42" s="21" t="str">
        <f t="shared" si="13"/>
        <v/>
      </c>
      <c r="X42" s="21" t="str">
        <f t="shared" si="13"/>
        <v/>
      </c>
      <c r="Y42" s="21" t="str">
        <f t="shared" si="13"/>
        <v/>
      </c>
      <c r="Z42" s="21" t="str">
        <f t="shared" si="13"/>
        <v/>
      </c>
      <c r="AA42" s="21" t="str">
        <f t="shared" si="14"/>
        <v/>
      </c>
      <c r="AB42" s="21" t="str">
        <f t="shared" si="14"/>
        <v/>
      </c>
      <c r="AC42" s="21" t="str">
        <f t="shared" si="14"/>
        <v/>
      </c>
      <c r="AD42" s="21" t="str">
        <f t="shared" si="14"/>
        <v/>
      </c>
      <c r="AE42" s="21" t="str">
        <f t="shared" si="14"/>
        <v/>
      </c>
      <c r="AF42" s="21" t="str">
        <f t="shared" si="14"/>
        <v/>
      </c>
      <c r="AG42" s="21" t="str">
        <f t="shared" si="14"/>
        <v/>
      </c>
      <c r="AH42" s="21" t="str">
        <f t="shared" si="14"/>
        <v/>
      </c>
      <c r="AI42" s="21" t="str">
        <f t="shared" si="14"/>
        <v/>
      </c>
      <c r="AJ42" s="21" t="str">
        <f t="shared" si="14"/>
        <v/>
      </c>
      <c r="AK42" s="21" t="str">
        <f t="shared" si="15"/>
        <v/>
      </c>
      <c r="AL42" s="21">
        <f t="shared" si="15"/>
        <v>1</v>
      </c>
      <c r="AM42" s="21">
        <f t="shared" si="15"/>
        <v>1</v>
      </c>
      <c r="AN42" s="21">
        <f t="shared" si="15"/>
        <v>1</v>
      </c>
      <c r="AO42" s="21" t="str">
        <f t="shared" si="15"/>
        <v/>
      </c>
      <c r="AP42" s="21" t="str">
        <f t="shared" si="15"/>
        <v/>
      </c>
      <c r="AQ42" s="21" t="str">
        <f t="shared" si="15"/>
        <v/>
      </c>
      <c r="AR42" s="21" t="str">
        <f t="shared" si="15"/>
        <v/>
      </c>
      <c r="AS42" s="21" t="str">
        <f t="shared" si="15"/>
        <v/>
      </c>
      <c r="AT42" s="21" t="str">
        <f t="shared" si="15"/>
        <v/>
      </c>
      <c r="AU42" s="21" t="str">
        <f t="shared" si="15"/>
        <v/>
      </c>
      <c r="AV42" s="21" t="str">
        <f t="shared" si="15"/>
        <v/>
      </c>
    </row>
    <row r="43" spans="1:48">
      <c r="A43" s="19" t="str">
        <f>Timeline!A51</f>
        <v>T38</v>
      </c>
      <c r="B43" s="20" t="str">
        <f>Timeline!B51</f>
        <v>3 Writing &amp; submission (M18-36)</v>
      </c>
      <c r="C43" s="20" t="str">
        <f>Timeline!C51</f>
        <v>Notification of Intent to Submit (NOI): thesis format, oral exam opt-in, access restriction</v>
      </c>
      <c r="D43" s="19" t="str">
        <f>Timeline!D51</f>
        <v>Milestone</v>
      </c>
      <c r="E43" s="19">
        <f>Timeline!E51</f>
        <v>34</v>
      </c>
      <c r="F43" s="19">
        <f>Timeline!F51</f>
        <v>34</v>
      </c>
      <c r="G43" s="21" t="str">
        <f t="shared" si="12"/>
        <v/>
      </c>
      <c r="H43" s="21" t="str">
        <f t="shared" si="12"/>
        <v/>
      </c>
      <c r="I43" s="21" t="str">
        <f t="shared" si="12"/>
        <v/>
      </c>
      <c r="J43" s="21" t="str">
        <f t="shared" si="12"/>
        <v/>
      </c>
      <c r="K43" s="21" t="str">
        <f t="shared" si="12"/>
        <v/>
      </c>
      <c r="L43" s="21" t="str">
        <f t="shared" si="12"/>
        <v/>
      </c>
      <c r="M43" s="21" t="str">
        <f t="shared" si="12"/>
        <v/>
      </c>
      <c r="N43" s="21" t="str">
        <f t="shared" si="12"/>
        <v/>
      </c>
      <c r="O43" s="21" t="str">
        <f t="shared" si="12"/>
        <v/>
      </c>
      <c r="P43" s="21" t="str">
        <f t="shared" si="12"/>
        <v/>
      </c>
      <c r="Q43" s="21" t="str">
        <f t="shared" si="13"/>
        <v/>
      </c>
      <c r="R43" s="21" t="str">
        <f t="shared" si="13"/>
        <v/>
      </c>
      <c r="S43" s="21" t="str">
        <f t="shared" si="13"/>
        <v/>
      </c>
      <c r="T43" s="21" t="str">
        <f t="shared" si="13"/>
        <v/>
      </c>
      <c r="U43" s="21" t="str">
        <f t="shared" si="13"/>
        <v/>
      </c>
      <c r="V43" s="21" t="str">
        <f t="shared" si="13"/>
        <v/>
      </c>
      <c r="W43" s="21" t="str">
        <f t="shared" si="13"/>
        <v/>
      </c>
      <c r="X43" s="21" t="str">
        <f t="shared" si="13"/>
        <v/>
      </c>
      <c r="Y43" s="21" t="str">
        <f t="shared" si="13"/>
        <v/>
      </c>
      <c r="Z43" s="21" t="str">
        <f t="shared" si="13"/>
        <v/>
      </c>
      <c r="AA43" s="21" t="str">
        <f t="shared" si="14"/>
        <v/>
      </c>
      <c r="AB43" s="21" t="str">
        <f t="shared" si="14"/>
        <v/>
      </c>
      <c r="AC43" s="21" t="str">
        <f t="shared" si="14"/>
        <v/>
      </c>
      <c r="AD43" s="21" t="str">
        <f t="shared" si="14"/>
        <v/>
      </c>
      <c r="AE43" s="21" t="str">
        <f t="shared" si="14"/>
        <v/>
      </c>
      <c r="AF43" s="21" t="str">
        <f t="shared" si="14"/>
        <v/>
      </c>
      <c r="AG43" s="21" t="str">
        <f t="shared" si="14"/>
        <v/>
      </c>
      <c r="AH43" s="21" t="str">
        <f t="shared" si="14"/>
        <v/>
      </c>
      <c r="AI43" s="21" t="str">
        <f t="shared" si="14"/>
        <v/>
      </c>
      <c r="AJ43" s="21" t="str">
        <f t="shared" si="14"/>
        <v/>
      </c>
      <c r="AK43" s="21" t="str">
        <f t="shared" si="15"/>
        <v/>
      </c>
      <c r="AL43" s="21" t="str">
        <f t="shared" si="15"/>
        <v/>
      </c>
      <c r="AM43" s="21" t="str">
        <f t="shared" si="15"/>
        <v/>
      </c>
      <c r="AN43" s="21">
        <f t="shared" si="15"/>
        <v>1</v>
      </c>
      <c r="AO43" s="21" t="str">
        <f t="shared" si="15"/>
        <v/>
      </c>
      <c r="AP43" s="21" t="str">
        <f t="shared" si="15"/>
        <v/>
      </c>
      <c r="AQ43" s="21" t="str">
        <f t="shared" si="15"/>
        <v/>
      </c>
      <c r="AR43" s="21" t="str">
        <f t="shared" si="15"/>
        <v/>
      </c>
      <c r="AS43" s="21" t="str">
        <f t="shared" si="15"/>
        <v/>
      </c>
      <c r="AT43" s="21" t="str">
        <f t="shared" si="15"/>
        <v/>
      </c>
      <c r="AU43" s="21" t="str">
        <f t="shared" si="15"/>
        <v/>
      </c>
      <c r="AV43" s="21" t="str">
        <f t="shared" si="15"/>
        <v/>
      </c>
    </row>
    <row r="44" spans="1:48">
      <c r="A44" s="19" t="str">
        <f>Timeline!A52</f>
        <v>T39</v>
      </c>
      <c r="B44" s="20" t="str">
        <f>Timeline!B52</f>
        <v>3 Writing &amp; submission (M18-36)</v>
      </c>
      <c r="C44" s="20" t="str">
        <f>Timeline!C52</f>
        <v>Nomination of Examiners (NOE)</v>
      </c>
      <c r="D44" s="19" t="str">
        <f>Timeline!D52</f>
        <v>Milestone</v>
      </c>
      <c r="E44" s="19">
        <f>Timeline!E52</f>
        <v>34</v>
      </c>
      <c r="F44" s="19">
        <f>Timeline!F52</f>
        <v>34</v>
      </c>
      <c r="G44" s="21" t="str">
        <f t="shared" si="12"/>
        <v/>
      </c>
      <c r="H44" s="21" t="str">
        <f t="shared" si="12"/>
        <v/>
      </c>
      <c r="I44" s="21" t="str">
        <f t="shared" si="12"/>
        <v/>
      </c>
      <c r="J44" s="21" t="str">
        <f t="shared" si="12"/>
        <v/>
      </c>
      <c r="K44" s="21" t="str">
        <f t="shared" si="12"/>
        <v/>
      </c>
      <c r="L44" s="21" t="str">
        <f t="shared" si="12"/>
        <v/>
      </c>
      <c r="M44" s="21" t="str">
        <f t="shared" si="12"/>
        <v/>
      </c>
      <c r="N44" s="21" t="str">
        <f t="shared" si="12"/>
        <v/>
      </c>
      <c r="O44" s="21" t="str">
        <f t="shared" si="12"/>
        <v/>
      </c>
      <c r="P44" s="21" t="str">
        <f t="shared" si="12"/>
        <v/>
      </c>
      <c r="Q44" s="21" t="str">
        <f t="shared" si="13"/>
        <v/>
      </c>
      <c r="R44" s="21" t="str">
        <f t="shared" si="13"/>
        <v/>
      </c>
      <c r="S44" s="21" t="str">
        <f t="shared" si="13"/>
        <v/>
      </c>
      <c r="T44" s="21" t="str">
        <f t="shared" si="13"/>
        <v/>
      </c>
      <c r="U44" s="21" t="str">
        <f t="shared" si="13"/>
        <v/>
      </c>
      <c r="V44" s="21" t="str">
        <f t="shared" si="13"/>
        <v/>
      </c>
      <c r="W44" s="21" t="str">
        <f t="shared" si="13"/>
        <v/>
      </c>
      <c r="X44" s="21" t="str">
        <f t="shared" si="13"/>
        <v/>
      </c>
      <c r="Y44" s="21" t="str">
        <f t="shared" si="13"/>
        <v/>
      </c>
      <c r="Z44" s="21" t="str">
        <f t="shared" si="13"/>
        <v/>
      </c>
      <c r="AA44" s="21" t="str">
        <f t="shared" si="14"/>
        <v/>
      </c>
      <c r="AB44" s="21" t="str">
        <f t="shared" si="14"/>
        <v/>
      </c>
      <c r="AC44" s="21" t="str">
        <f t="shared" si="14"/>
        <v/>
      </c>
      <c r="AD44" s="21" t="str">
        <f t="shared" si="14"/>
        <v/>
      </c>
      <c r="AE44" s="21" t="str">
        <f t="shared" si="14"/>
        <v/>
      </c>
      <c r="AF44" s="21" t="str">
        <f t="shared" si="14"/>
        <v/>
      </c>
      <c r="AG44" s="21" t="str">
        <f t="shared" si="14"/>
        <v/>
      </c>
      <c r="AH44" s="21" t="str">
        <f t="shared" si="14"/>
        <v/>
      </c>
      <c r="AI44" s="21" t="str">
        <f t="shared" si="14"/>
        <v/>
      </c>
      <c r="AJ44" s="21" t="str">
        <f t="shared" si="14"/>
        <v/>
      </c>
      <c r="AK44" s="21" t="str">
        <f t="shared" si="15"/>
        <v/>
      </c>
      <c r="AL44" s="21" t="str">
        <f t="shared" si="15"/>
        <v/>
      </c>
      <c r="AM44" s="21" t="str">
        <f t="shared" si="15"/>
        <v/>
      </c>
      <c r="AN44" s="21">
        <f t="shared" si="15"/>
        <v>1</v>
      </c>
      <c r="AO44" s="21" t="str">
        <f t="shared" si="15"/>
        <v/>
      </c>
      <c r="AP44" s="21" t="str">
        <f t="shared" si="15"/>
        <v/>
      </c>
      <c r="AQ44" s="21" t="str">
        <f t="shared" si="15"/>
        <v/>
      </c>
      <c r="AR44" s="21" t="str">
        <f t="shared" si="15"/>
        <v/>
      </c>
      <c r="AS44" s="21" t="str">
        <f t="shared" si="15"/>
        <v/>
      </c>
      <c r="AT44" s="21" t="str">
        <f t="shared" si="15"/>
        <v/>
      </c>
      <c r="AU44" s="21" t="str">
        <f t="shared" si="15"/>
        <v/>
      </c>
      <c r="AV44" s="21" t="str">
        <f t="shared" si="15"/>
        <v/>
      </c>
    </row>
    <row r="45" spans="1:48">
      <c r="A45" s="19" t="str">
        <f>Timeline!A53</f>
        <v>T40</v>
      </c>
      <c r="B45" s="20" t="str">
        <f>Timeline!B53</f>
        <v>3 Writing &amp; submission (M18-36)</v>
      </c>
      <c r="C45" s="20" t="str">
        <f>Timeline!C53</f>
        <v>Pre-submission iThenticate similarity review with supervisor</v>
      </c>
      <c r="D45" s="19" t="str">
        <f>Timeline!D53</f>
        <v>Task</v>
      </c>
      <c r="E45" s="19">
        <f>Timeline!E53</f>
        <v>35</v>
      </c>
      <c r="F45" s="19">
        <f>Timeline!F53</f>
        <v>35</v>
      </c>
      <c r="G45" s="21" t="str">
        <f t="shared" si="12"/>
        <v/>
      </c>
      <c r="H45" s="21" t="str">
        <f t="shared" si="12"/>
        <v/>
      </c>
      <c r="I45" s="21" t="str">
        <f t="shared" si="12"/>
        <v/>
      </c>
      <c r="J45" s="21" t="str">
        <f t="shared" si="12"/>
        <v/>
      </c>
      <c r="K45" s="21" t="str">
        <f t="shared" si="12"/>
        <v/>
      </c>
      <c r="L45" s="21" t="str">
        <f t="shared" si="12"/>
        <v/>
      </c>
      <c r="M45" s="21" t="str">
        <f t="shared" si="12"/>
        <v/>
      </c>
      <c r="N45" s="21" t="str">
        <f t="shared" si="12"/>
        <v/>
      </c>
      <c r="O45" s="21" t="str">
        <f t="shared" si="12"/>
        <v/>
      </c>
      <c r="P45" s="21" t="str">
        <f t="shared" si="12"/>
        <v/>
      </c>
      <c r="Q45" s="21" t="str">
        <f t="shared" si="13"/>
        <v/>
      </c>
      <c r="R45" s="21" t="str">
        <f t="shared" si="13"/>
        <v/>
      </c>
      <c r="S45" s="21" t="str">
        <f t="shared" si="13"/>
        <v/>
      </c>
      <c r="T45" s="21" t="str">
        <f t="shared" si="13"/>
        <v/>
      </c>
      <c r="U45" s="21" t="str">
        <f t="shared" si="13"/>
        <v/>
      </c>
      <c r="V45" s="21" t="str">
        <f t="shared" si="13"/>
        <v/>
      </c>
      <c r="W45" s="21" t="str">
        <f t="shared" si="13"/>
        <v/>
      </c>
      <c r="X45" s="21" t="str">
        <f t="shared" si="13"/>
        <v/>
      </c>
      <c r="Y45" s="21" t="str">
        <f t="shared" si="13"/>
        <v/>
      </c>
      <c r="Z45" s="21" t="str">
        <f t="shared" si="13"/>
        <v/>
      </c>
      <c r="AA45" s="21" t="str">
        <f t="shared" si="14"/>
        <v/>
      </c>
      <c r="AB45" s="21" t="str">
        <f t="shared" si="14"/>
        <v/>
      </c>
      <c r="AC45" s="21" t="str">
        <f t="shared" si="14"/>
        <v/>
      </c>
      <c r="AD45" s="21" t="str">
        <f t="shared" si="14"/>
        <v/>
      </c>
      <c r="AE45" s="21" t="str">
        <f t="shared" si="14"/>
        <v/>
      </c>
      <c r="AF45" s="21" t="str">
        <f t="shared" si="14"/>
        <v/>
      </c>
      <c r="AG45" s="21" t="str">
        <f t="shared" si="14"/>
        <v/>
      </c>
      <c r="AH45" s="21" t="str">
        <f t="shared" si="14"/>
        <v/>
      </c>
      <c r="AI45" s="21" t="str">
        <f t="shared" si="14"/>
        <v/>
      </c>
      <c r="AJ45" s="21" t="str">
        <f t="shared" si="14"/>
        <v/>
      </c>
      <c r="AK45" s="21" t="str">
        <f t="shared" si="15"/>
        <v/>
      </c>
      <c r="AL45" s="21" t="str">
        <f t="shared" si="15"/>
        <v/>
      </c>
      <c r="AM45" s="21" t="str">
        <f t="shared" si="15"/>
        <v/>
      </c>
      <c r="AN45" s="21" t="str">
        <f t="shared" si="15"/>
        <v/>
      </c>
      <c r="AO45" s="21">
        <f t="shared" si="15"/>
        <v>1</v>
      </c>
      <c r="AP45" s="21" t="str">
        <f t="shared" si="15"/>
        <v/>
      </c>
      <c r="AQ45" s="21" t="str">
        <f t="shared" si="15"/>
        <v/>
      </c>
      <c r="AR45" s="21" t="str">
        <f t="shared" si="15"/>
        <v/>
      </c>
      <c r="AS45" s="21" t="str">
        <f t="shared" si="15"/>
        <v/>
      </c>
      <c r="AT45" s="21" t="str">
        <f t="shared" si="15"/>
        <v/>
      </c>
      <c r="AU45" s="21" t="str">
        <f t="shared" si="15"/>
        <v/>
      </c>
      <c r="AV45" s="21" t="str">
        <f t="shared" si="15"/>
        <v/>
      </c>
    </row>
    <row r="46" spans="1:48">
      <c r="A46" s="19" t="str">
        <f>Timeline!A54</f>
        <v>T41</v>
      </c>
      <c r="B46" s="20" t="str">
        <f>Timeline!B54</f>
        <v>3 Writing &amp; submission (M18-36)</v>
      </c>
      <c r="C46" s="20" t="str">
        <f>Timeline!C54</f>
        <v>Final formatting &amp; proofread</v>
      </c>
      <c r="D46" s="19" t="str">
        <f>Timeline!D54</f>
        <v>Task</v>
      </c>
      <c r="E46" s="19">
        <f>Timeline!E54</f>
        <v>35</v>
      </c>
      <c r="F46" s="19">
        <f>Timeline!F54</f>
        <v>36</v>
      </c>
      <c r="G46" s="21" t="str">
        <f t="shared" si="12"/>
        <v/>
      </c>
      <c r="H46" s="21" t="str">
        <f t="shared" si="12"/>
        <v/>
      </c>
      <c r="I46" s="21" t="str">
        <f t="shared" si="12"/>
        <v/>
      </c>
      <c r="J46" s="21" t="str">
        <f t="shared" si="12"/>
        <v/>
      </c>
      <c r="K46" s="21" t="str">
        <f t="shared" si="12"/>
        <v/>
      </c>
      <c r="L46" s="21" t="str">
        <f t="shared" si="12"/>
        <v/>
      </c>
      <c r="M46" s="21" t="str">
        <f t="shared" si="12"/>
        <v/>
      </c>
      <c r="N46" s="21" t="str">
        <f t="shared" si="12"/>
        <v/>
      </c>
      <c r="O46" s="21" t="str">
        <f t="shared" si="12"/>
        <v/>
      </c>
      <c r="P46" s="21" t="str">
        <f t="shared" si="12"/>
        <v/>
      </c>
      <c r="Q46" s="21" t="str">
        <f t="shared" si="13"/>
        <v/>
      </c>
      <c r="R46" s="21" t="str">
        <f t="shared" si="13"/>
        <v/>
      </c>
      <c r="S46" s="21" t="str">
        <f t="shared" si="13"/>
        <v/>
      </c>
      <c r="T46" s="21" t="str">
        <f t="shared" si="13"/>
        <v/>
      </c>
      <c r="U46" s="21" t="str">
        <f t="shared" si="13"/>
        <v/>
      </c>
      <c r="V46" s="21" t="str">
        <f t="shared" si="13"/>
        <v/>
      </c>
      <c r="W46" s="21" t="str">
        <f t="shared" si="13"/>
        <v/>
      </c>
      <c r="X46" s="21" t="str">
        <f t="shared" si="13"/>
        <v/>
      </c>
      <c r="Y46" s="21" t="str">
        <f t="shared" si="13"/>
        <v/>
      </c>
      <c r="Z46" s="21" t="str">
        <f t="shared" si="13"/>
        <v/>
      </c>
      <c r="AA46" s="21" t="str">
        <f t="shared" si="14"/>
        <v/>
      </c>
      <c r="AB46" s="21" t="str">
        <f t="shared" si="14"/>
        <v/>
      </c>
      <c r="AC46" s="21" t="str">
        <f t="shared" si="14"/>
        <v/>
      </c>
      <c r="AD46" s="21" t="str">
        <f t="shared" si="14"/>
        <v/>
      </c>
      <c r="AE46" s="21" t="str">
        <f t="shared" si="14"/>
        <v/>
      </c>
      <c r="AF46" s="21" t="str">
        <f t="shared" si="14"/>
        <v/>
      </c>
      <c r="AG46" s="21" t="str">
        <f t="shared" si="14"/>
        <v/>
      </c>
      <c r="AH46" s="21" t="str">
        <f t="shared" si="14"/>
        <v/>
      </c>
      <c r="AI46" s="21" t="str">
        <f t="shared" si="14"/>
        <v/>
      </c>
      <c r="AJ46" s="21" t="str">
        <f t="shared" si="14"/>
        <v/>
      </c>
      <c r="AK46" s="21" t="str">
        <f t="shared" si="15"/>
        <v/>
      </c>
      <c r="AL46" s="21" t="str">
        <f t="shared" si="15"/>
        <v/>
      </c>
      <c r="AM46" s="21" t="str">
        <f t="shared" si="15"/>
        <v/>
      </c>
      <c r="AN46" s="21" t="str">
        <f t="shared" si="15"/>
        <v/>
      </c>
      <c r="AO46" s="21">
        <f t="shared" si="15"/>
        <v>1</v>
      </c>
      <c r="AP46" s="21">
        <f t="shared" si="15"/>
        <v>1</v>
      </c>
      <c r="AQ46" s="21" t="str">
        <f t="shared" si="15"/>
        <v/>
      </c>
      <c r="AR46" s="21" t="str">
        <f t="shared" si="15"/>
        <v/>
      </c>
      <c r="AS46" s="21" t="str">
        <f t="shared" si="15"/>
        <v/>
      </c>
      <c r="AT46" s="21" t="str">
        <f t="shared" si="15"/>
        <v/>
      </c>
      <c r="AU46" s="21" t="str">
        <f t="shared" si="15"/>
        <v/>
      </c>
      <c r="AV46" s="21" t="str">
        <f t="shared" si="15"/>
        <v/>
      </c>
    </row>
    <row r="47" spans="1:48">
      <c r="A47" s="19" t="str">
        <f>Timeline!A55</f>
        <v>T42</v>
      </c>
      <c r="B47" s="20" t="str">
        <f>Timeline!B55</f>
        <v>3 Writing &amp; submission (M18-36)</v>
      </c>
      <c r="C47" s="20" t="str">
        <f>Timeline!C55</f>
        <v>THESIS SUBMISSION: submission form + final upload + supervisor endorsement</v>
      </c>
      <c r="D47" s="19" t="str">
        <f>Timeline!D55</f>
        <v>Milestone</v>
      </c>
      <c r="E47" s="19">
        <f>Timeline!E55</f>
        <v>36</v>
      </c>
      <c r="F47" s="19">
        <f>Timeline!F55</f>
        <v>36</v>
      </c>
      <c r="G47" s="21" t="str">
        <f t="shared" si="12"/>
        <v/>
      </c>
      <c r="H47" s="21" t="str">
        <f t="shared" si="12"/>
        <v/>
      </c>
      <c r="I47" s="21" t="str">
        <f t="shared" si="12"/>
        <v/>
      </c>
      <c r="J47" s="21" t="str">
        <f t="shared" si="12"/>
        <v/>
      </c>
      <c r="K47" s="21" t="str">
        <f t="shared" si="12"/>
        <v/>
      </c>
      <c r="L47" s="21" t="str">
        <f t="shared" si="12"/>
        <v/>
      </c>
      <c r="M47" s="21" t="str">
        <f t="shared" si="12"/>
        <v/>
      </c>
      <c r="N47" s="21" t="str">
        <f t="shared" si="12"/>
        <v/>
      </c>
      <c r="O47" s="21" t="str">
        <f t="shared" si="12"/>
        <v/>
      </c>
      <c r="P47" s="21" t="str">
        <f t="shared" si="12"/>
        <v/>
      </c>
      <c r="Q47" s="21" t="str">
        <f t="shared" si="13"/>
        <v/>
      </c>
      <c r="R47" s="21" t="str">
        <f t="shared" si="13"/>
        <v/>
      </c>
      <c r="S47" s="21" t="str">
        <f t="shared" si="13"/>
        <v/>
      </c>
      <c r="T47" s="21" t="str">
        <f t="shared" si="13"/>
        <v/>
      </c>
      <c r="U47" s="21" t="str">
        <f t="shared" si="13"/>
        <v/>
      </c>
      <c r="V47" s="21" t="str">
        <f t="shared" si="13"/>
        <v/>
      </c>
      <c r="W47" s="21" t="str">
        <f t="shared" si="13"/>
        <v/>
      </c>
      <c r="X47" s="21" t="str">
        <f t="shared" si="13"/>
        <v/>
      </c>
      <c r="Y47" s="21" t="str">
        <f t="shared" si="13"/>
        <v/>
      </c>
      <c r="Z47" s="21" t="str">
        <f t="shared" si="13"/>
        <v/>
      </c>
      <c r="AA47" s="21" t="str">
        <f t="shared" si="14"/>
        <v/>
      </c>
      <c r="AB47" s="21" t="str">
        <f t="shared" si="14"/>
        <v/>
      </c>
      <c r="AC47" s="21" t="str">
        <f t="shared" si="14"/>
        <v/>
      </c>
      <c r="AD47" s="21" t="str">
        <f t="shared" si="14"/>
        <v/>
      </c>
      <c r="AE47" s="21" t="str">
        <f t="shared" si="14"/>
        <v/>
      </c>
      <c r="AF47" s="21" t="str">
        <f t="shared" si="14"/>
        <v/>
      </c>
      <c r="AG47" s="21" t="str">
        <f t="shared" si="14"/>
        <v/>
      </c>
      <c r="AH47" s="21" t="str">
        <f t="shared" si="14"/>
        <v/>
      </c>
      <c r="AI47" s="21" t="str">
        <f t="shared" si="14"/>
        <v/>
      </c>
      <c r="AJ47" s="21" t="str">
        <f t="shared" si="14"/>
        <v/>
      </c>
      <c r="AK47" s="21" t="str">
        <f t="shared" si="15"/>
        <v/>
      </c>
      <c r="AL47" s="21" t="str">
        <f t="shared" si="15"/>
        <v/>
      </c>
      <c r="AM47" s="21" t="str">
        <f t="shared" si="15"/>
        <v/>
      </c>
      <c r="AN47" s="21" t="str">
        <f t="shared" si="15"/>
        <v/>
      </c>
      <c r="AO47" s="21" t="str">
        <f t="shared" si="15"/>
        <v/>
      </c>
      <c r="AP47" s="21">
        <f t="shared" si="15"/>
        <v>1</v>
      </c>
      <c r="AQ47" s="21" t="str">
        <f t="shared" si="15"/>
        <v/>
      </c>
      <c r="AR47" s="21" t="str">
        <f t="shared" si="15"/>
        <v/>
      </c>
      <c r="AS47" s="21" t="str">
        <f t="shared" si="15"/>
        <v/>
      </c>
      <c r="AT47" s="21" t="str">
        <f t="shared" si="15"/>
        <v/>
      </c>
      <c r="AU47" s="21" t="str">
        <f t="shared" si="15"/>
        <v/>
      </c>
      <c r="AV47" s="21" t="str">
        <f t="shared" si="15"/>
        <v/>
      </c>
    </row>
    <row r="48" spans="1:48">
      <c r="A48" s="19" t="str">
        <f>Timeline!A56</f>
        <v>T43</v>
      </c>
      <c r="B48" s="20" t="str">
        <f>Timeline!B56</f>
        <v>4 Post-submission / buffer</v>
      </c>
      <c r="C48" s="20" t="str">
        <f>Timeline!C56</f>
        <v>Thesis examination (duration varies); oral exam mandatory if candidature began on/after 1 July 2024</v>
      </c>
      <c r="D48" s="19" t="str">
        <f>Timeline!D56</f>
        <v>Task</v>
      </c>
      <c r="E48" s="19">
        <f>Timeline!E56</f>
        <v>37</v>
      </c>
      <c r="F48" s="19">
        <f>Timeline!F56</f>
        <v>42</v>
      </c>
      <c r="G48" s="21" t="str">
        <f t="shared" si="12"/>
        <v/>
      </c>
      <c r="H48" s="21" t="str">
        <f t="shared" si="12"/>
        <v/>
      </c>
      <c r="I48" s="21" t="str">
        <f t="shared" si="12"/>
        <v/>
      </c>
      <c r="J48" s="21" t="str">
        <f t="shared" si="12"/>
        <v/>
      </c>
      <c r="K48" s="21" t="str">
        <f t="shared" si="12"/>
        <v/>
      </c>
      <c r="L48" s="21" t="str">
        <f t="shared" si="12"/>
        <v/>
      </c>
      <c r="M48" s="21" t="str">
        <f t="shared" si="12"/>
        <v/>
      </c>
      <c r="N48" s="21" t="str">
        <f t="shared" si="12"/>
        <v/>
      </c>
      <c r="O48" s="21" t="str">
        <f t="shared" si="12"/>
        <v/>
      </c>
      <c r="P48" s="21" t="str">
        <f t="shared" si="12"/>
        <v/>
      </c>
      <c r="Q48" s="21" t="str">
        <f t="shared" si="13"/>
        <v/>
      </c>
      <c r="R48" s="21" t="str">
        <f t="shared" si="13"/>
        <v/>
      </c>
      <c r="S48" s="21" t="str">
        <f t="shared" si="13"/>
        <v/>
      </c>
      <c r="T48" s="21" t="str">
        <f t="shared" si="13"/>
        <v/>
      </c>
      <c r="U48" s="21" t="str">
        <f t="shared" si="13"/>
        <v/>
      </c>
      <c r="V48" s="21" t="str">
        <f t="shared" si="13"/>
        <v/>
      </c>
      <c r="W48" s="21" t="str">
        <f t="shared" si="13"/>
        <v/>
      </c>
      <c r="X48" s="21" t="str">
        <f t="shared" si="13"/>
        <v/>
      </c>
      <c r="Y48" s="21" t="str">
        <f t="shared" si="13"/>
        <v/>
      </c>
      <c r="Z48" s="21" t="str">
        <f t="shared" si="13"/>
        <v/>
      </c>
      <c r="AA48" s="21" t="str">
        <f t="shared" si="14"/>
        <v/>
      </c>
      <c r="AB48" s="21" t="str">
        <f t="shared" si="14"/>
        <v/>
      </c>
      <c r="AC48" s="21" t="str">
        <f t="shared" si="14"/>
        <v/>
      </c>
      <c r="AD48" s="21" t="str">
        <f t="shared" si="14"/>
        <v/>
      </c>
      <c r="AE48" s="21" t="str">
        <f t="shared" si="14"/>
        <v/>
      </c>
      <c r="AF48" s="21" t="str">
        <f t="shared" si="14"/>
        <v/>
      </c>
      <c r="AG48" s="21" t="str">
        <f t="shared" si="14"/>
        <v/>
      </c>
      <c r="AH48" s="21" t="str">
        <f t="shared" si="14"/>
        <v/>
      </c>
      <c r="AI48" s="21" t="str">
        <f t="shared" si="14"/>
        <v/>
      </c>
      <c r="AJ48" s="21" t="str">
        <f t="shared" si="14"/>
        <v/>
      </c>
      <c r="AK48" s="21" t="str">
        <f t="shared" si="15"/>
        <v/>
      </c>
      <c r="AL48" s="21" t="str">
        <f t="shared" si="15"/>
        <v/>
      </c>
      <c r="AM48" s="21" t="str">
        <f t="shared" si="15"/>
        <v/>
      </c>
      <c r="AN48" s="21" t="str">
        <f t="shared" si="15"/>
        <v/>
      </c>
      <c r="AO48" s="21" t="str">
        <f t="shared" si="15"/>
        <v/>
      </c>
      <c r="AP48" s="21" t="str">
        <f t="shared" si="15"/>
        <v/>
      </c>
      <c r="AQ48" s="21">
        <f t="shared" si="15"/>
        <v>1</v>
      </c>
      <c r="AR48" s="21">
        <f t="shared" si="15"/>
        <v>1</v>
      </c>
      <c r="AS48" s="21">
        <f t="shared" si="15"/>
        <v>1</v>
      </c>
      <c r="AT48" s="21">
        <f t="shared" si="15"/>
        <v>1</v>
      </c>
      <c r="AU48" s="21">
        <f t="shared" si="15"/>
        <v>1</v>
      </c>
      <c r="AV48" s="21">
        <f t="shared" si="15"/>
        <v>1</v>
      </c>
    </row>
    <row r="49" spans="1:48">
      <c r="A49" s="19" t="str">
        <f>Timeline!A57</f>
        <v>T44</v>
      </c>
      <c r="B49" s="20" t="str">
        <f>Timeline!B57</f>
        <v>4 Post-submission / buffer</v>
      </c>
      <c r="C49" s="20" t="str">
        <f>Timeline!C57</f>
        <v>Buffer: scholarship program end at 3.5 years (contingency if anything slips)</v>
      </c>
      <c r="D49" s="19" t="str">
        <f>Timeline!D57</f>
        <v>Milestone</v>
      </c>
      <c r="E49" s="19">
        <f>Timeline!E57</f>
        <v>42</v>
      </c>
      <c r="F49" s="19">
        <f>Timeline!F57</f>
        <v>42</v>
      </c>
      <c r="G49" s="21" t="str">
        <f t="shared" si="12"/>
        <v/>
      </c>
      <c r="H49" s="21" t="str">
        <f t="shared" si="12"/>
        <v/>
      </c>
      <c r="I49" s="21" t="str">
        <f t="shared" si="12"/>
        <v/>
      </c>
      <c r="J49" s="21" t="str">
        <f t="shared" si="12"/>
        <v/>
      </c>
      <c r="K49" s="21" t="str">
        <f t="shared" si="12"/>
        <v/>
      </c>
      <c r="L49" s="21" t="str">
        <f t="shared" si="12"/>
        <v/>
      </c>
      <c r="M49" s="21" t="str">
        <f t="shared" si="12"/>
        <v/>
      </c>
      <c r="N49" s="21" t="str">
        <f t="shared" si="12"/>
        <v/>
      </c>
      <c r="O49" s="21" t="str">
        <f t="shared" si="12"/>
        <v/>
      </c>
      <c r="P49" s="21" t="str">
        <f t="shared" si="12"/>
        <v/>
      </c>
      <c r="Q49" s="21" t="str">
        <f t="shared" si="13"/>
        <v/>
      </c>
      <c r="R49" s="21" t="str">
        <f t="shared" si="13"/>
        <v/>
      </c>
      <c r="S49" s="21" t="str">
        <f t="shared" si="13"/>
        <v/>
      </c>
      <c r="T49" s="21" t="str">
        <f t="shared" si="13"/>
        <v/>
      </c>
      <c r="U49" s="21" t="str">
        <f t="shared" si="13"/>
        <v/>
      </c>
      <c r="V49" s="21" t="str">
        <f t="shared" si="13"/>
        <v/>
      </c>
      <c r="W49" s="21" t="str">
        <f t="shared" si="13"/>
        <v/>
      </c>
      <c r="X49" s="21" t="str">
        <f t="shared" si="13"/>
        <v/>
      </c>
      <c r="Y49" s="21" t="str">
        <f t="shared" si="13"/>
        <v/>
      </c>
      <c r="Z49" s="21" t="str">
        <f t="shared" si="13"/>
        <v/>
      </c>
      <c r="AA49" s="21" t="str">
        <f t="shared" si="14"/>
        <v/>
      </c>
      <c r="AB49" s="21" t="str">
        <f t="shared" si="14"/>
        <v/>
      </c>
      <c r="AC49" s="21" t="str">
        <f t="shared" si="14"/>
        <v/>
      </c>
      <c r="AD49" s="21" t="str">
        <f t="shared" si="14"/>
        <v/>
      </c>
      <c r="AE49" s="21" t="str">
        <f t="shared" si="14"/>
        <v/>
      </c>
      <c r="AF49" s="21" t="str">
        <f t="shared" si="14"/>
        <v/>
      </c>
      <c r="AG49" s="21" t="str">
        <f t="shared" si="14"/>
        <v/>
      </c>
      <c r="AH49" s="21" t="str">
        <f t="shared" si="14"/>
        <v/>
      </c>
      <c r="AI49" s="21" t="str">
        <f t="shared" si="14"/>
        <v/>
      </c>
      <c r="AJ49" s="21" t="str">
        <f t="shared" si="14"/>
        <v/>
      </c>
      <c r="AK49" s="21" t="str">
        <f t="shared" si="15"/>
        <v/>
      </c>
      <c r="AL49" s="21" t="str">
        <f t="shared" si="15"/>
        <v/>
      </c>
      <c r="AM49" s="21" t="str">
        <f t="shared" si="15"/>
        <v/>
      </c>
      <c r="AN49" s="21" t="str">
        <f t="shared" si="15"/>
        <v/>
      </c>
      <c r="AO49" s="21" t="str">
        <f t="shared" si="15"/>
        <v/>
      </c>
      <c r="AP49" s="21" t="str">
        <f t="shared" si="15"/>
        <v/>
      </c>
      <c r="AQ49" s="21" t="str">
        <f t="shared" si="15"/>
        <v/>
      </c>
      <c r="AR49" s="21" t="str">
        <f t="shared" si="15"/>
        <v/>
      </c>
      <c r="AS49" s="21" t="str">
        <f t="shared" si="15"/>
        <v/>
      </c>
      <c r="AT49" s="21" t="str">
        <f t="shared" si="15"/>
        <v/>
      </c>
      <c r="AU49" s="21" t="str">
        <f t="shared" si="15"/>
        <v/>
      </c>
      <c r="AV49" s="21">
        <f t="shared" si="15"/>
        <v>1</v>
      </c>
    </row>
  </sheetData>
  <conditionalFormatting sqref="G6:AV49">
    <cfRule type="expression" dxfId="5" priority="2">
      <formula>AND(G6=1,$D6="Milestone")</formula>
    </cfRule>
    <cfRule type="expression" dxfId="4" priority="3">
      <formula>AND(G6=1,LEFT($B6,1)="0")</formula>
    </cfRule>
    <cfRule type="expression" dxfId="3" priority="4">
      <formula>AND(G6=1,LEFT($B6,1)="1")</formula>
    </cfRule>
    <cfRule type="expression" dxfId="2" priority="5">
      <formula>AND(G6=1,LEFT($B6,1)="2")</formula>
    </cfRule>
    <cfRule type="expression" dxfId="1" priority="6">
      <formula>AND(G6=1,LEFT($B6,1)="3")</formula>
    </cfRule>
    <cfRule type="expression" dxfId="0" priority="7">
      <formula>AND(G6=1,LEFT($B6,1)="4")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topLeftCell="A8" zoomScaleNormal="100" workbookViewId="0">
      <selection activeCell="C16" sqref="C16"/>
    </sheetView>
  </sheetViews>
  <sheetFormatPr defaultColWidth="8.7109375" defaultRowHeight="14.65"/>
  <cols>
    <col min="1" max="1" width="26" customWidth="1"/>
    <col min="2" max="2" width="90" customWidth="1"/>
    <col min="3" max="3" width="55" customWidth="1"/>
    <col min="4" max="4" width="9" customWidth="1"/>
  </cols>
  <sheetData>
    <row r="1" spans="1:4" ht="17.649999999999999">
      <c r="A1" s="6" t="s">
        <v>157</v>
      </c>
    </row>
    <row r="3" spans="1:4">
      <c r="A3" s="15" t="s">
        <v>158</v>
      </c>
      <c r="B3" s="15" t="s">
        <v>159</v>
      </c>
      <c r="C3" s="15" t="s">
        <v>160</v>
      </c>
      <c r="D3" s="15" t="s">
        <v>161</v>
      </c>
    </row>
    <row r="4" spans="1:4" ht="37.35">
      <c r="A4" s="5" t="s">
        <v>162</v>
      </c>
      <c r="B4" s="4" t="s">
        <v>163</v>
      </c>
      <c r="C4" s="4" t="s">
        <v>164</v>
      </c>
      <c r="D4" s="3" t="s">
        <v>165</v>
      </c>
    </row>
    <row r="5" spans="1:4" ht="24.95">
      <c r="A5" s="5" t="s">
        <v>166</v>
      </c>
      <c r="B5" s="4" t="s">
        <v>167</v>
      </c>
      <c r="C5" s="4" t="s">
        <v>168</v>
      </c>
      <c r="D5" s="3" t="s">
        <v>165</v>
      </c>
    </row>
    <row r="6" spans="1:4" ht="24.95">
      <c r="A6" s="5" t="s">
        <v>169</v>
      </c>
      <c r="B6" s="4" t="s">
        <v>170</v>
      </c>
      <c r="C6" s="4" t="s">
        <v>171</v>
      </c>
      <c r="D6" s="3" t="s">
        <v>172</v>
      </c>
    </row>
    <row r="7" spans="1:4" ht="24.95">
      <c r="A7" s="5" t="s">
        <v>173</v>
      </c>
      <c r="B7" s="4" t="s">
        <v>174</v>
      </c>
      <c r="C7" s="4" t="s">
        <v>175</v>
      </c>
      <c r="D7" s="3" t="s">
        <v>176</v>
      </c>
    </row>
    <row r="8" spans="1:4" ht="37.35">
      <c r="A8" s="5" t="s">
        <v>177</v>
      </c>
      <c r="B8" s="4" t="s">
        <v>178</v>
      </c>
      <c r="C8" s="4" t="s">
        <v>179</v>
      </c>
      <c r="D8" s="3" t="s">
        <v>180</v>
      </c>
    </row>
    <row r="9" spans="1:4" ht="24.95">
      <c r="A9" s="5" t="s">
        <v>181</v>
      </c>
      <c r="B9" s="4" t="s">
        <v>182</v>
      </c>
      <c r="C9" s="4" t="s">
        <v>183</v>
      </c>
      <c r="D9" s="3" t="s">
        <v>184</v>
      </c>
    </row>
    <row r="10" spans="1:4" ht="24.95">
      <c r="A10" s="5" t="s">
        <v>185</v>
      </c>
      <c r="B10" s="4" t="s">
        <v>186</v>
      </c>
      <c r="C10" s="4" t="s">
        <v>187</v>
      </c>
      <c r="D10" s="3" t="s">
        <v>188</v>
      </c>
    </row>
    <row r="11" spans="1:4">
      <c r="A11" s="5" t="s">
        <v>189</v>
      </c>
      <c r="B11" s="4" t="s">
        <v>190</v>
      </c>
      <c r="C11" s="4" t="s">
        <v>191</v>
      </c>
      <c r="D11" s="3" t="s">
        <v>192</v>
      </c>
    </row>
    <row r="12" spans="1:4" ht="49.7">
      <c r="A12" s="5" t="s">
        <v>193</v>
      </c>
      <c r="B12" s="4" t="s">
        <v>194</v>
      </c>
      <c r="C12" s="4" t="s">
        <v>195</v>
      </c>
      <c r="D12" s="3" t="s">
        <v>196</v>
      </c>
    </row>
    <row r="13" spans="1:4" ht="24.95">
      <c r="A13" s="5" t="s">
        <v>197</v>
      </c>
      <c r="B13" s="4" t="s">
        <v>198</v>
      </c>
      <c r="C13" s="4" t="s">
        <v>199</v>
      </c>
      <c r="D13" s="3" t="s">
        <v>200</v>
      </c>
    </row>
    <row r="14" spans="1:4" ht="24.95">
      <c r="A14" s="5" t="s">
        <v>201</v>
      </c>
      <c r="B14" s="4" t="s">
        <v>202</v>
      </c>
      <c r="C14" s="4" t="s">
        <v>150</v>
      </c>
      <c r="D14" s="3" t="s">
        <v>203</v>
      </c>
    </row>
    <row r="15" spans="1:4" ht="37.35">
      <c r="A15" s="5" t="s">
        <v>204</v>
      </c>
      <c r="B15" s="4" t="s">
        <v>205</v>
      </c>
      <c r="C15" s="4" t="s">
        <v>206</v>
      </c>
      <c r="D15" s="3" t="s">
        <v>207</v>
      </c>
    </row>
    <row r="16" spans="1:4" ht="24.95">
      <c r="A16" s="5" t="s">
        <v>208</v>
      </c>
      <c r="B16" s="4" t="s">
        <v>209</v>
      </c>
      <c r="C16" s="4" t="s">
        <v>210</v>
      </c>
      <c r="D16" s="3" t="s">
        <v>211</v>
      </c>
    </row>
    <row r="17" spans="1:4">
      <c r="A17" s="5" t="s">
        <v>212</v>
      </c>
      <c r="B17" s="4" t="s">
        <v>213</v>
      </c>
      <c r="C17" s="4" t="s">
        <v>214</v>
      </c>
      <c r="D17" s="3" t="s">
        <v>211</v>
      </c>
    </row>
    <row r="18" spans="1:4" ht="24.95">
      <c r="A18" s="5" t="s">
        <v>215</v>
      </c>
      <c r="B18" s="4" t="s">
        <v>216</v>
      </c>
      <c r="C18" s="4" t="s">
        <v>150</v>
      </c>
      <c r="D18" s="3" t="s">
        <v>217</v>
      </c>
    </row>
    <row r="19" spans="1:4" ht="24.95">
      <c r="A19" s="5" t="s">
        <v>218</v>
      </c>
      <c r="B19" s="4" t="s">
        <v>219</v>
      </c>
      <c r="C19" s="4" t="s">
        <v>220</v>
      </c>
      <c r="D19" s="3" t="s">
        <v>221</v>
      </c>
    </row>
    <row r="20" spans="1:4" ht="24.95">
      <c r="A20" s="5" t="s">
        <v>222</v>
      </c>
      <c r="B20" s="4" t="s">
        <v>223</v>
      </c>
      <c r="C20" s="4" t="s">
        <v>150</v>
      </c>
      <c r="D20" s="3" t="s">
        <v>224</v>
      </c>
    </row>
    <row r="21" spans="1:4">
      <c r="A21" s="5" t="s">
        <v>225</v>
      </c>
      <c r="B21" s="4" t="s">
        <v>226</v>
      </c>
      <c r="C21" s="4" t="s">
        <v>227</v>
      </c>
      <c r="D21" s="3" t="s">
        <v>228</v>
      </c>
    </row>
    <row r="22" spans="1:4" ht="37.35">
      <c r="A22" s="5" t="s">
        <v>229</v>
      </c>
      <c r="B22" s="4" t="s">
        <v>230</v>
      </c>
      <c r="C22" s="4" t="s">
        <v>150</v>
      </c>
      <c r="D22" s="3" t="s">
        <v>231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Yehezkiel Halauwet</cp:lastModifiedBy>
  <cp:revision>0</cp:revision>
  <dcterms:created xsi:type="dcterms:W3CDTF">2026-09-28T13:24:49Z</dcterms:created>
  <dcterms:modified xsi:type="dcterms:W3CDTF">2026-09-29T04:37:34Z</dcterms:modified>
  <cp:category/>
  <cp:contentStatus/>
</cp:coreProperties>
</file>